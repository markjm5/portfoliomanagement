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FE701EAF-462D-AC48-9ECD-7D5805110836}" xr6:coauthVersionLast="47" xr6:coauthVersionMax="47" xr10:uidLastSave="{00000000-0000-0000-0000-000000000000}"/>
  <bookViews>
    <workbookView xWindow="-67280" yWindow="500" windowWidth="41660" windowHeight="247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5" l="1"/>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B773" i="3"/>
  <c r="D773" i="3"/>
  <c r="E773" i="3"/>
  <c r="F773" i="3" s="1"/>
  <c r="B542" i="5"/>
  <c r="B541" i="5"/>
  <c r="B540" i="5"/>
  <c r="B539" i="5"/>
  <c r="B538" i="5"/>
  <c r="B537" i="5"/>
  <c r="B536" i="5"/>
  <c r="B535" i="5"/>
  <c r="B534" i="5"/>
  <c r="B533" i="5"/>
  <c r="B532" i="5"/>
  <c r="B531" i="5"/>
  <c r="B530" i="5"/>
  <c r="B529" i="5"/>
  <c r="B528" i="5"/>
  <c r="B527" i="5"/>
  <c r="B526" i="5"/>
  <c r="B525" i="5"/>
  <c r="B524" i="5"/>
  <c r="B523" i="5"/>
  <c r="B522" i="5"/>
  <c r="B521" i="5"/>
  <c r="B520" i="5"/>
  <c r="B519" i="5"/>
  <c r="B518" i="5"/>
  <c r="B517" i="5"/>
  <c r="B516" i="5"/>
  <c r="B515" i="5"/>
  <c r="B514" i="5"/>
  <c r="B513" i="5"/>
  <c r="B512" i="5"/>
  <c r="B511" i="5"/>
  <c r="B510" i="5"/>
  <c r="B509" i="5"/>
  <c r="B508" i="5"/>
  <c r="B507" i="5"/>
  <c r="B506" i="5"/>
  <c r="B505" i="5"/>
  <c r="B504" i="5"/>
  <c r="B503" i="5"/>
  <c r="B502" i="5"/>
  <c r="B501" i="5"/>
  <c r="B500" i="5"/>
  <c r="B499" i="5"/>
  <c r="B498" i="5"/>
  <c r="B497" i="5"/>
  <c r="B496" i="5"/>
  <c r="B495" i="5"/>
  <c r="B494" i="5"/>
  <c r="B493" i="5"/>
  <c r="B492" i="5"/>
  <c r="B491" i="5"/>
  <c r="B490" i="5"/>
  <c r="B489" i="5"/>
  <c r="B488" i="5"/>
  <c r="B487" i="5"/>
  <c r="B486" i="5"/>
  <c r="B485" i="5"/>
  <c r="B484" i="5"/>
  <c r="B483" i="5"/>
  <c r="B482" i="5"/>
  <c r="B481" i="5"/>
  <c r="B480" i="5"/>
  <c r="B479" i="5"/>
  <c r="B478" i="5"/>
  <c r="B477" i="5"/>
  <c r="B476" i="5"/>
  <c r="B475" i="5"/>
  <c r="B474" i="5"/>
  <c r="B473" i="5"/>
  <c r="B472" i="5"/>
  <c r="B471" i="5"/>
  <c r="B470" i="5"/>
  <c r="B469" i="5"/>
  <c r="B468" i="5"/>
  <c r="B467" i="5"/>
  <c r="B466" i="5"/>
  <c r="B465" i="5"/>
  <c r="B464" i="5"/>
  <c r="B463" i="5"/>
  <c r="B462" i="5"/>
  <c r="B461" i="5"/>
  <c r="B460" i="5"/>
  <c r="B459" i="5"/>
  <c r="B458" i="5"/>
  <c r="B457" i="5"/>
  <c r="B456" i="5"/>
  <c r="B455" i="5"/>
  <c r="B454" i="5"/>
  <c r="B453" i="5"/>
  <c r="B452" i="5"/>
  <c r="B451" i="5"/>
  <c r="B450" i="5"/>
  <c r="B449" i="5"/>
  <c r="B448" i="5"/>
  <c r="B447" i="5"/>
  <c r="B446" i="5"/>
  <c r="B445" i="5"/>
  <c r="B444" i="5"/>
  <c r="B443" i="5"/>
  <c r="B442" i="5"/>
  <c r="B441" i="5"/>
  <c r="B440" i="5"/>
  <c r="B439" i="5"/>
  <c r="B438" i="5"/>
  <c r="B437" i="5"/>
  <c r="B436" i="5"/>
  <c r="B435" i="5"/>
  <c r="B434" i="5"/>
  <c r="B433" i="5"/>
  <c r="B432" i="5"/>
  <c r="B431" i="5"/>
  <c r="B430" i="5"/>
  <c r="B429" i="5"/>
  <c r="B428" i="5"/>
  <c r="B427" i="5"/>
  <c r="B426" i="5"/>
  <c r="B425" i="5"/>
  <c r="B424" i="5"/>
  <c r="B423" i="5"/>
  <c r="B422" i="5"/>
  <c r="B421" i="5"/>
  <c r="B420" i="5"/>
  <c r="B419" i="5"/>
  <c r="B418" i="5"/>
  <c r="B417" i="5"/>
  <c r="B416" i="5"/>
  <c r="B415" i="5"/>
  <c r="B414" i="5"/>
  <c r="B413" i="5"/>
  <c r="B412" i="5"/>
  <c r="B411" i="5"/>
  <c r="B410" i="5"/>
  <c r="B409" i="5"/>
  <c r="B408" i="5"/>
  <c r="B407" i="5"/>
  <c r="B406" i="5"/>
  <c r="B405" i="5"/>
  <c r="B404" i="5"/>
  <c r="B403" i="5"/>
  <c r="B402" i="5"/>
  <c r="B401" i="5"/>
  <c r="B400" i="5"/>
  <c r="B399" i="5"/>
  <c r="B398" i="5"/>
  <c r="B397" i="5"/>
  <c r="B396" i="5"/>
  <c r="B395" i="5"/>
  <c r="B394" i="5"/>
  <c r="B393" i="5"/>
  <c r="B392" i="5"/>
  <c r="B391" i="5"/>
  <c r="B390" i="5"/>
  <c r="B389" i="5"/>
  <c r="B388" i="5"/>
  <c r="B387" i="5"/>
  <c r="B386" i="5"/>
  <c r="B385" i="5"/>
  <c r="B384" i="5"/>
  <c r="B383" i="5"/>
  <c r="B382" i="5"/>
  <c r="B381" i="5"/>
  <c r="B380" i="5"/>
  <c r="B379" i="5"/>
  <c r="B378" i="5"/>
  <c r="B377" i="5"/>
  <c r="B376" i="5"/>
  <c r="B375" i="5"/>
  <c r="B374" i="5"/>
  <c r="B373" i="5"/>
  <c r="B372" i="5"/>
  <c r="B371" i="5"/>
  <c r="B370" i="5"/>
  <c r="B369" i="5"/>
  <c r="B368" i="5"/>
  <c r="B367" i="5"/>
  <c r="B366" i="5"/>
  <c r="B365" i="5"/>
  <c r="B364" i="5"/>
  <c r="B363" i="5"/>
  <c r="B362" i="5"/>
  <c r="B361" i="5"/>
  <c r="B360" i="5"/>
  <c r="B359" i="5"/>
  <c r="B358" i="5"/>
  <c r="B357" i="5"/>
  <c r="B356" i="5"/>
  <c r="B355" i="5"/>
  <c r="B354" i="5"/>
  <c r="B353" i="5"/>
  <c r="B352" i="5"/>
  <c r="B351" i="5"/>
  <c r="B350" i="5"/>
  <c r="B349" i="5"/>
  <c r="B348" i="5"/>
  <c r="B347" i="5"/>
  <c r="B346" i="5"/>
  <c r="B345" i="5"/>
  <c r="B344" i="5"/>
  <c r="B343" i="5"/>
  <c r="B342" i="5"/>
  <c r="B341" i="5"/>
  <c r="B340" i="5"/>
  <c r="B339" i="5"/>
  <c r="B338" i="5"/>
  <c r="B337" i="5"/>
  <c r="B336" i="5"/>
  <c r="B335" i="5"/>
  <c r="B334" i="5"/>
  <c r="B333" i="5"/>
  <c r="B332" i="5"/>
  <c r="B331" i="5"/>
  <c r="B330" i="5"/>
  <c r="B329" i="5"/>
  <c r="B328" i="5"/>
  <c r="B327" i="5"/>
  <c r="B326" i="5"/>
  <c r="B325" i="5"/>
  <c r="B324" i="5"/>
  <c r="B323" i="5"/>
  <c r="B322" i="5"/>
  <c r="B321" i="5"/>
  <c r="B320" i="5"/>
  <c r="B319" i="5"/>
  <c r="B318" i="5"/>
  <c r="B317" i="5"/>
  <c r="B316" i="5"/>
  <c r="B315" i="5"/>
  <c r="B314" i="5"/>
  <c r="B313" i="5"/>
  <c r="B312" i="5"/>
  <c r="B311" i="5"/>
  <c r="B310" i="5"/>
  <c r="B309" i="5"/>
  <c r="B308" i="5"/>
  <c r="B307" i="5"/>
  <c r="B306" i="5"/>
  <c r="B305" i="5"/>
  <c r="B304" i="5"/>
  <c r="B303" i="5"/>
  <c r="B302" i="5"/>
  <c r="B301" i="5"/>
  <c r="B300" i="5"/>
  <c r="B299" i="5"/>
  <c r="B298" i="5"/>
  <c r="B297" i="5"/>
  <c r="B296" i="5"/>
  <c r="B295" i="5"/>
  <c r="B294" i="5"/>
  <c r="B293" i="5"/>
  <c r="B292" i="5"/>
  <c r="B291" i="5"/>
  <c r="B290" i="5"/>
  <c r="B289" i="5"/>
  <c r="B288" i="5"/>
  <c r="B287" i="5"/>
  <c r="B286" i="5"/>
  <c r="B285" i="5"/>
  <c r="B284" i="5"/>
  <c r="B283" i="5"/>
  <c r="B282" i="5"/>
  <c r="B281" i="5"/>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2" i="3"/>
  <c r="D772" i="3"/>
  <c r="B772" i="3"/>
  <c r="E771" i="3"/>
  <c r="D771" i="3"/>
  <c r="B771" i="3"/>
  <c r="E770" i="3"/>
  <c r="D770" i="3"/>
  <c r="B770" i="3"/>
  <c r="C770" i="3" s="1"/>
  <c r="E769" i="3"/>
  <c r="D769" i="3"/>
  <c r="B769" i="3"/>
  <c r="F768" i="3"/>
  <c r="E768" i="3"/>
  <c r="D768" i="3"/>
  <c r="B768" i="3"/>
  <c r="E767" i="3"/>
  <c r="F767" i="3" s="1"/>
  <c r="D767" i="3"/>
  <c r="B767" i="3"/>
  <c r="E766" i="3"/>
  <c r="D766" i="3"/>
  <c r="B766" i="3"/>
  <c r="E765" i="3"/>
  <c r="D765" i="3"/>
  <c r="B765" i="3"/>
  <c r="E764" i="3"/>
  <c r="D764" i="3"/>
  <c r="B764" i="3"/>
  <c r="E763" i="3"/>
  <c r="D763" i="3"/>
  <c r="B763" i="3"/>
  <c r="E762" i="3"/>
  <c r="D762" i="3"/>
  <c r="B762" i="3"/>
  <c r="E761" i="3"/>
  <c r="F772" i="3" s="1"/>
  <c r="D761" i="3"/>
  <c r="B761" i="3"/>
  <c r="C773" i="3" s="1"/>
  <c r="E760" i="3"/>
  <c r="D760" i="3"/>
  <c r="B760" i="3"/>
  <c r="C760" i="3" s="1"/>
  <c r="E759" i="3"/>
  <c r="D759" i="3"/>
  <c r="B759" i="3"/>
  <c r="E758" i="3"/>
  <c r="D758" i="3"/>
  <c r="B758" i="3"/>
  <c r="E757" i="3"/>
  <c r="D757" i="3"/>
  <c r="B757" i="3"/>
  <c r="E756" i="3"/>
  <c r="D756" i="3"/>
  <c r="B756" i="3"/>
  <c r="C768" i="3" s="1"/>
  <c r="E755" i="3"/>
  <c r="D755" i="3"/>
  <c r="B755" i="3"/>
  <c r="E754" i="3"/>
  <c r="D754" i="3"/>
  <c r="B754" i="3"/>
  <c r="E753" i="3"/>
  <c r="D753" i="3"/>
  <c r="B753" i="3"/>
  <c r="E752" i="3"/>
  <c r="F763" i="3" s="1"/>
  <c r="D752" i="3"/>
  <c r="B752" i="3"/>
  <c r="E751" i="3"/>
  <c r="F762" i="3" s="1"/>
  <c r="D751" i="3"/>
  <c r="C751" i="3"/>
  <c r="B751" i="3"/>
  <c r="E750" i="3"/>
  <c r="D750" i="3"/>
  <c r="B750" i="3"/>
  <c r="E749" i="3"/>
  <c r="D749" i="3"/>
  <c r="B749" i="3"/>
  <c r="E748" i="3"/>
  <c r="F759" i="3" s="1"/>
  <c r="D748" i="3"/>
  <c r="B748" i="3"/>
  <c r="E747" i="3"/>
  <c r="F758" i="3" s="1"/>
  <c r="D747" i="3"/>
  <c r="B747" i="3"/>
  <c r="C759" i="3" s="1"/>
  <c r="E746" i="3"/>
  <c r="D746" i="3"/>
  <c r="B746" i="3"/>
  <c r="E745" i="3"/>
  <c r="F756" i="3" s="1"/>
  <c r="D745" i="3"/>
  <c r="B745" i="3"/>
  <c r="C757" i="3" s="1"/>
  <c r="E744" i="3"/>
  <c r="F755" i="3" s="1"/>
  <c r="D744" i="3"/>
  <c r="B744" i="3"/>
  <c r="C744" i="3" s="1"/>
  <c r="E743" i="3"/>
  <c r="D743" i="3"/>
  <c r="B743" i="3"/>
  <c r="E742" i="3"/>
  <c r="D742" i="3"/>
  <c r="B742" i="3"/>
  <c r="E741" i="3"/>
  <c r="D741" i="3"/>
  <c r="B741" i="3"/>
  <c r="C753" i="3" s="1"/>
  <c r="E740" i="3"/>
  <c r="F751" i="3" s="1"/>
  <c r="D740" i="3"/>
  <c r="B740" i="3"/>
  <c r="E739" i="3"/>
  <c r="D739" i="3"/>
  <c r="B739" i="3"/>
  <c r="E738" i="3"/>
  <c r="F749" i="3" s="1"/>
  <c r="D738" i="3"/>
  <c r="B738" i="3"/>
  <c r="E737" i="3"/>
  <c r="D737" i="3"/>
  <c r="B737" i="3"/>
  <c r="C749" i="3" s="1"/>
  <c r="E736" i="3"/>
  <c r="D736" i="3"/>
  <c r="B736" i="3"/>
  <c r="E735" i="3"/>
  <c r="D735" i="3"/>
  <c r="B735" i="3"/>
  <c r="E734" i="3"/>
  <c r="D734" i="3"/>
  <c r="B734" i="3"/>
  <c r="C734" i="3" s="1"/>
  <c r="E733" i="3"/>
  <c r="D733" i="3"/>
  <c r="B733" i="3"/>
  <c r="E732" i="3"/>
  <c r="D732" i="3"/>
  <c r="C732" i="3"/>
  <c r="B732" i="3"/>
  <c r="E731" i="3"/>
  <c r="D731" i="3"/>
  <c r="B731" i="3"/>
  <c r="E730" i="3"/>
  <c r="F741" i="3" s="1"/>
  <c r="D730" i="3"/>
  <c r="B730" i="3"/>
  <c r="E729" i="3"/>
  <c r="D729" i="3"/>
  <c r="B729" i="3"/>
  <c r="E728" i="3"/>
  <c r="F739" i="3" s="1"/>
  <c r="D728" i="3"/>
  <c r="B728" i="3"/>
  <c r="C728" i="3" s="1"/>
  <c r="E727" i="3"/>
  <c r="D727" i="3"/>
  <c r="B727" i="3"/>
  <c r="C739" i="3" s="1"/>
  <c r="E726" i="3"/>
  <c r="F737" i="3" s="1"/>
  <c r="D726" i="3"/>
  <c r="B726" i="3"/>
  <c r="E725" i="3"/>
  <c r="F736" i="3" s="1"/>
  <c r="D725" i="3"/>
  <c r="B725" i="3"/>
  <c r="E724" i="3"/>
  <c r="F735" i="3" s="1"/>
  <c r="D724" i="3"/>
  <c r="B724" i="3"/>
  <c r="E723" i="3"/>
  <c r="D723" i="3"/>
  <c r="B723" i="3"/>
  <c r="E722" i="3"/>
  <c r="F733" i="3" s="1"/>
  <c r="D722" i="3"/>
  <c r="B722" i="3"/>
  <c r="C722" i="3" s="1"/>
  <c r="E721" i="3"/>
  <c r="F721" i="3" s="1"/>
  <c r="D721" i="3"/>
  <c r="B721" i="3"/>
  <c r="E720" i="3"/>
  <c r="F731" i="3" s="1"/>
  <c r="D720" i="3"/>
  <c r="B720" i="3"/>
  <c r="E719" i="3"/>
  <c r="F719" i="3" s="1"/>
  <c r="D719" i="3"/>
  <c r="B719" i="3"/>
  <c r="E718" i="3"/>
  <c r="D718" i="3"/>
  <c r="B718" i="3"/>
  <c r="C718" i="3" s="1"/>
  <c r="F717" i="3"/>
  <c r="E717" i="3"/>
  <c r="D717" i="3"/>
  <c r="B717" i="3"/>
  <c r="C729" i="3" s="1"/>
  <c r="E716" i="3"/>
  <c r="D716" i="3"/>
  <c r="B716" i="3"/>
  <c r="C716" i="3" s="1"/>
  <c r="E715" i="3"/>
  <c r="F726" i="3" s="1"/>
  <c r="D715" i="3"/>
  <c r="B715" i="3"/>
  <c r="E714" i="3"/>
  <c r="D714" i="3"/>
  <c r="B714" i="3"/>
  <c r="C714" i="3" s="1"/>
  <c r="E713" i="3"/>
  <c r="D713" i="3"/>
  <c r="B713" i="3"/>
  <c r="C725" i="3" s="1"/>
  <c r="E712" i="3"/>
  <c r="F723" i="3" s="1"/>
  <c r="D712" i="3"/>
  <c r="B712" i="3"/>
  <c r="E711" i="3"/>
  <c r="D711" i="3"/>
  <c r="B711" i="3"/>
  <c r="C711" i="3" s="1"/>
  <c r="E710" i="3"/>
  <c r="D710" i="3"/>
  <c r="B710" i="3"/>
  <c r="C710" i="3" s="1"/>
  <c r="E709" i="3"/>
  <c r="F720" i="3" s="1"/>
  <c r="D709" i="3"/>
  <c r="B709" i="3"/>
  <c r="E708" i="3"/>
  <c r="D708" i="3"/>
  <c r="B708" i="3"/>
  <c r="E707" i="3"/>
  <c r="D707" i="3"/>
  <c r="B707" i="3"/>
  <c r="C719" i="3" s="1"/>
  <c r="E706" i="3"/>
  <c r="D706" i="3"/>
  <c r="B706" i="3"/>
  <c r="E705" i="3"/>
  <c r="D705" i="3"/>
  <c r="B705" i="3"/>
  <c r="C717" i="3" s="1"/>
  <c r="E704" i="3"/>
  <c r="D704" i="3"/>
  <c r="B704" i="3"/>
  <c r="E703" i="3"/>
  <c r="D703" i="3"/>
  <c r="B703" i="3"/>
  <c r="E702" i="3"/>
  <c r="F713" i="3" s="1"/>
  <c r="D702" i="3"/>
  <c r="B702" i="3"/>
  <c r="E701" i="3"/>
  <c r="D701" i="3"/>
  <c r="B701" i="3"/>
  <c r="E700" i="3"/>
  <c r="D700" i="3"/>
  <c r="B700" i="3"/>
  <c r="C712" i="3" s="1"/>
  <c r="E699" i="3"/>
  <c r="D699" i="3"/>
  <c r="B699" i="3"/>
  <c r="E698" i="3"/>
  <c r="D698" i="3"/>
  <c r="B698" i="3"/>
  <c r="E697" i="3"/>
  <c r="D697" i="3"/>
  <c r="B697" i="3"/>
  <c r="E696" i="3"/>
  <c r="D696" i="3"/>
  <c r="B696" i="3"/>
  <c r="E695" i="3"/>
  <c r="D695" i="3"/>
  <c r="B695" i="3"/>
  <c r="E694" i="3"/>
  <c r="F705" i="3" s="1"/>
  <c r="D694" i="3"/>
  <c r="B694" i="3"/>
  <c r="C706" i="3" s="1"/>
  <c r="E693" i="3"/>
  <c r="D693" i="3"/>
  <c r="B693" i="3"/>
  <c r="E692" i="3"/>
  <c r="D692" i="3"/>
  <c r="B692" i="3"/>
  <c r="C704" i="3" s="1"/>
  <c r="E691" i="3"/>
  <c r="F702" i="3" s="1"/>
  <c r="D691" i="3"/>
  <c r="B691" i="3"/>
  <c r="E690" i="3"/>
  <c r="D690" i="3"/>
  <c r="B690" i="3"/>
  <c r="E689" i="3"/>
  <c r="F700" i="3" s="1"/>
  <c r="D689" i="3"/>
  <c r="B689" i="3"/>
  <c r="E688" i="3"/>
  <c r="F699" i="3" s="1"/>
  <c r="D688" i="3"/>
  <c r="B688" i="3"/>
  <c r="C700" i="3" s="1"/>
  <c r="E687" i="3"/>
  <c r="F687" i="3" s="1"/>
  <c r="D687" i="3"/>
  <c r="B687" i="3"/>
  <c r="C687" i="3" s="1"/>
  <c r="E686" i="3"/>
  <c r="D686" i="3"/>
  <c r="B686" i="3"/>
  <c r="C698" i="3" s="1"/>
  <c r="E685" i="3"/>
  <c r="D685" i="3"/>
  <c r="B685" i="3"/>
  <c r="E684" i="3"/>
  <c r="D684" i="3"/>
  <c r="B684" i="3"/>
  <c r="C696" i="3" s="1"/>
  <c r="E683" i="3"/>
  <c r="F694" i="3" s="1"/>
  <c r="D683" i="3"/>
  <c r="B683" i="3"/>
  <c r="C695" i="3" s="1"/>
  <c r="E682" i="3"/>
  <c r="D682" i="3"/>
  <c r="B682" i="3"/>
  <c r="C694" i="3" s="1"/>
  <c r="E681" i="3"/>
  <c r="F692" i="3" s="1"/>
  <c r="D681" i="3"/>
  <c r="B681" i="3"/>
  <c r="C693" i="3" s="1"/>
  <c r="E680" i="3"/>
  <c r="D680" i="3"/>
  <c r="B680" i="3"/>
  <c r="E679" i="3"/>
  <c r="D679" i="3"/>
  <c r="B679" i="3"/>
  <c r="C691" i="3" s="1"/>
  <c r="E678" i="3"/>
  <c r="D678" i="3"/>
  <c r="B678" i="3"/>
  <c r="E677" i="3"/>
  <c r="D677" i="3"/>
  <c r="B677" i="3"/>
  <c r="C689" i="3" s="1"/>
  <c r="E676" i="3"/>
  <c r="D676" i="3"/>
  <c r="B676" i="3"/>
  <c r="E675" i="3"/>
  <c r="D675" i="3"/>
  <c r="B675" i="3"/>
  <c r="E674" i="3"/>
  <c r="F685" i="3" s="1"/>
  <c r="D674" i="3"/>
  <c r="B674" i="3"/>
  <c r="E673" i="3"/>
  <c r="F673" i="3" s="1"/>
  <c r="D673" i="3"/>
  <c r="B673" i="3"/>
  <c r="C685" i="3" s="1"/>
  <c r="E672" i="3"/>
  <c r="D672" i="3"/>
  <c r="B672" i="3"/>
  <c r="C684" i="3" s="1"/>
  <c r="E671" i="3"/>
  <c r="F682" i="3" s="1"/>
  <c r="D671" i="3"/>
  <c r="B671" i="3"/>
  <c r="C683" i="3" s="1"/>
  <c r="E670" i="3"/>
  <c r="D670" i="3"/>
  <c r="B670" i="3"/>
  <c r="E669" i="3"/>
  <c r="F680" i="3" s="1"/>
  <c r="D669" i="3"/>
  <c r="B669" i="3"/>
  <c r="C681" i="3" s="1"/>
  <c r="E668" i="3"/>
  <c r="D668" i="3"/>
  <c r="B668" i="3"/>
  <c r="C668" i="3" s="1"/>
  <c r="E667" i="3"/>
  <c r="D667" i="3"/>
  <c r="B667" i="3"/>
  <c r="C679" i="3" s="1"/>
  <c r="E666" i="3"/>
  <c r="D666" i="3"/>
  <c r="B666" i="3"/>
  <c r="E665" i="3"/>
  <c r="F676" i="3" s="1"/>
  <c r="D665" i="3"/>
  <c r="B665" i="3"/>
  <c r="E664" i="3"/>
  <c r="F675" i="3" s="1"/>
  <c r="D664" i="3"/>
  <c r="B664" i="3"/>
  <c r="C664" i="3" s="1"/>
  <c r="E663" i="3"/>
  <c r="D663" i="3"/>
  <c r="B663" i="3"/>
  <c r="E662" i="3"/>
  <c r="D662" i="3"/>
  <c r="B662" i="3"/>
  <c r="C662" i="3" s="1"/>
  <c r="E661" i="3"/>
  <c r="D661" i="3"/>
  <c r="B661" i="3"/>
  <c r="E660" i="3"/>
  <c r="D660" i="3"/>
  <c r="B660" i="3"/>
  <c r="E659" i="3"/>
  <c r="D659" i="3"/>
  <c r="B659" i="3"/>
  <c r="E658" i="3"/>
  <c r="D658" i="3"/>
  <c r="B658" i="3"/>
  <c r="E657" i="3"/>
  <c r="D657" i="3"/>
  <c r="B657" i="3"/>
  <c r="E656" i="3"/>
  <c r="F667" i="3" s="1"/>
  <c r="D656" i="3"/>
  <c r="B656" i="3"/>
  <c r="E655" i="3"/>
  <c r="D655" i="3"/>
  <c r="B655" i="3"/>
  <c r="E654" i="3"/>
  <c r="D654" i="3"/>
  <c r="B654" i="3"/>
  <c r="C666" i="3" s="1"/>
  <c r="E653" i="3"/>
  <c r="D653" i="3"/>
  <c r="B653" i="3"/>
  <c r="C665" i="3" s="1"/>
  <c r="E652" i="3"/>
  <c r="D652" i="3"/>
  <c r="B652" i="3"/>
  <c r="E651" i="3"/>
  <c r="D651" i="3"/>
  <c r="B651" i="3"/>
  <c r="E650" i="3"/>
  <c r="D650" i="3"/>
  <c r="B650" i="3"/>
  <c r="E649" i="3"/>
  <c r="D649" i="3"/>
  <c r="B649" i="3"/>
  <c r="E648" i="3"/>
  <c r="F659" i="3" s="1"/>
  <c r="D648" i="3"/>
  <c r="B648" i="3"/>
  <c r="E647" i="3"/>
  <c r="D647" i="3"/>
  <c r="B647" i="3"/>
  <c r="E646" i="3"/>
  <c r="D646" i="3"/>
  <c r="C646" i="3"/>
  <c r="B646" i="3"/>
  <c r="E645" i="3"/>
  <c r="D645" i="3"/>
  <c r="B645" i="3"/>
  <c r="E644" i="3"/>
  <c r="D644" i="3"/>
  <c r="B644" i="3"/>
  <c r="E643" i="3"/>
  <c r="D643" i="3"/>
  <c r="B643" i="3"/>
  <c r="E642" i="3"/>
  <c r="D642" i="3"/>
  <c r="B642" i="3"/>
  <c r="C642" i="3" s="1"/>
  <c r="E641" i="3"/>
  <c r="D641" i="3"/>
  <c r="B641" i="3"/>
  <c r="E640" i="3"/>
  <c r="F651" i="3" s="1"/>
  <c r="D640" i="3"/>
  <c r="B640" i="3"/>
  <c r="E639" i="3"/>
  <c r="F639" i="3" s="1"/>
  <c r="D639" i="3"/>
  <c r="B639" i="3"/>
  <c r="E638" i="3"/>
  <c r="F649" i="3" s="1"/>
  <c r="D638" i="3"/>
  <c r="B638" i="3"/>
  <c r="C650" i="3" s="1"/>
  <c r="E637" i="3"/>
  <c r="F648" i="3" s="1"/>
  <c r="D637" i="3"/>
  <c r="B637" i="3"/>
  <c r="E636" i="3"/>
  <c r="D636" i="3"/>
  <c r="B636" i="3"/>
  <c r="E635" i="3"/>
  <c r="F646" i="3" s="1"/>
  <c r="D635" i="3"/>
  <c r="B635" i="3"/>
  <c r="E634" i="3"/>
  <c r="D634" i="3"/>
  <c r="B634" i="3"/>
  <c r="E633" i="3"/>
  <c r="D633" i="3"/>
  <c r="B633" i="3"/>
  <c r="C645" i="3" s="1"/>
  <c r="E632" i="3"/>
  <c r="D632" i="3"/>
  <c r="B632" i="3"/>
  <c r="E631" i="3"/>
  <c r="D631" i="3"/>
  <c r="B631" i="3"/>
  <c r="E630" i="3"/>
  <c r="D630" i="3"/>
  <c r="B630" i="3"/>
  <c r="E629" i="3"/>
  <c r="D629" i="3"/>
  <c r="B629" i="3"/>
  <c r="E628" i="3"/>
  <c r="D628" i="3"/>
  <c r="B628" i="3"/>
  <c r="E627" i="3"/>
  <c r="D627" i="3"/>
  <c r="B627" i="3"/>
  <c r="E626" i="3"/>
  <c r="D626" i="3"/>
  <c r="B626" i="3"/>
  <c r="E625" i="3"/>
  <c r="D625" i="3"/>
  <c r="B625" i="3"/>
  <c r="C637" i="3" s="1"/>
  <c r="E624" i="3"/>
  <c r="D624" i="3"/>
  <c r="B624" i="3"/>
  <c r="C624" i="3" s="1"/>
  <c r="E623" i="3"/>
  <c r="D623" i="3"/>
  <c r="B623" i="3"/>
  <c r="E622" i="3"/>
  <c r="F633" i="3" s="1"/>
  <c r="D622" i="3"/>
  <c r="B622" i="3"/>
  <c r="E621" i="3"/>
  <c r="F632" i="3" s="1"/>
  <c r="D621" i="3"/>
  <c r="B621" i="3"/>
  <c r="E620" i="3"/>
  <c r="F631" i="3" s="1"/>
  <c r="D620" i="3"/>
  <c r="B620" i="3"/>
  <c r="C620" i="3" s="1"/>
  <c r="E619" i="3"/>
  <c r="D619" i="3"/>
  <c r="B619" i="3"/>
  <c r="E618" i="3"/>
  <c r="D618" i="3"/>
  <c r="B618" i="3"/>
  <c r="E617" i="3"/>
  <c r="D617" i="3"/>
  <c r="B617" i="3"/>
  <c r="E616" i="3"/>
  <c r="F627" i="3" s="1"/>
  <c r="D616" i="3"/>
  <c r="B616" i="3"/>
  <c r="E615" i="3"/>
  <c r="D615" i="3"/>
  <c r="B615" i="3"/>
  <c r="E614" i="3"/>
  <c r="F625" i="3" s="1"/>
  <c r="D614" i="3"/>
  <c r="B614" i="3"/>
  <c r="C614" i="3" s="1"/>
  <c r="E613" i="3"/>
  <c r="D613" i="3"/>
  <c r="B613" i="3"/>
  <c r="C625" i="3" s="1"/>
  <c r="E612" i="3"/>
  <c r="F623" i="3" s="1"/>
  <c r="D612" i="3"/>
  <c r="B612" i="3"/>
  <c r="E611" i="3"/>
  <c r="D611" i="3"/>
  <c r="B611" i="3"/>
  <c r="E610" i="3"/>
  <c r="D610" i="3"/>
  <c r="B610" i="3"/>
  <c r="C622" i="3" s="1"/>
  <c r="E609" i="3"/>
  <c r="D609" i="3"/>
  <c r="B609" i="3"/>
  <c r="E608" i="3"/>
  <c r="F619" i="3" s="1"/>
  <c r="D608" i="3"/>
  <c r="B608" i="3"/>
  <c r="C608" i="3" s="1"/>
  <c r="E607" i="3"/>
  <c r="D607" i="3"/>
  <c r="B607" i="3"/>
  <c r="E606" i="3"/>
  <c r="F617" i="3" s="1"/>
  <c r="D606" i="3"/>
  <c r="B606" i="3"/>
  <c r="C606" i="3" s="1"/>
  <c r="E605" i="3"/>
  <c r="D605" i="3"/>
  <c r="B605" i="3"/>
  <c r="E604" i="3"/>
  <c r="D604" i="3"/>
  <c r="B604" i="3"/>
  <c r="C604" i="3" s="1"/>
  <c r="E603" i="3"/>
  <c r="D603" i="3"/>
  <c r="B603" i="3"/>
  <c r="E602" i="3"/>
  <c r="F613" i="3" s="1"/>
  <c r="D602" i="3"/>
  <c r="B602" i="3"/>
  <c r="E601" i="3"/>
  <c r="F612" i="3" s="1"/>
  <c r="D601" i="3"/>
  <c r="B601" i="3"/>
  <c r="C613" i="3" s="1"/>
  <c r="E600" i="3"/>
  <c r="D600" i="3"/>
  <c r="C600" i="3"/>
  <c r="B600" i="3"/>
  <c r="E599" i="3"/>
  <c r="D599" i="3"/>
  <c r="B599" i="3"/>
  <c r="E598" i="3"/>
  <c r="F609" i="3" s="1"/>
  <c r="D598" i="3"/>
  <c r="B598" i="3"/>
  <c r="C598" i="3" s="1"/>
  <c r="E597" i="3"/>
  <c r="D597" i="3"/>
  <c r="B597" i="3"/>
  <c r="E596" i="3"/>
  <c r="D596" i="3"/>
  <c r="B596" i="3"/>
  <c r="E595" i="3"/>
  <c r="D595" i="3"/>
  <c r="B595" i="3"/>
  <c r="E594" i="3"/>
  <c r="D594" i="3"/>
  <c r="B594" i="3"/>
  <c r="E593" i="3"/>
  <c r="F593" i="3" s="1"/>
  <c r="D593" i="3"/>
  <c r="B593" i="3"/>
  <c r="E592" i="3"/>
  <c r="F603" i="3" s="1"/>
  <c r="D592" i="3"/>
  <c r="B592" i="3"/>
  <c r="E591" i="3"/>
  <c r="D591" i="3"/>
  <c r="B591" i="3"/>
  <c r="C603" i="3" s="1"/>
  <c r="E590" i="3"/>
  <c r="D590" i="3"/>
  <c r="B590" i="3"/>
  <c r="C602" i="3" s="1"/>
  <c r="E589" i="3"/>
  <c r="D589" i="3"/>
  <c r="B589" i="3"/>
  <c r="C601" i="3" s="1"/>
  <c r="E588" i="3"/>
  <c r="D588" i="3"/>
  <c r="B588" i="3"/>
  <c r="E587" i="3"/>
  <c r="D587" i="3"/>
  <c r="B587" i="3"/>
  <c r="C599" i="3" s="1"/>
  <c r="E586" i="3"/>
  <c r="D586" i="3"/>
  <c r="B586" i="3"/>
  <c r="E585" i="3"/>
  <c r="F596" i="3" s="1"/>
  <c r="D585" i="3"/>
  <c r="B585" i="3"/>
  <c r="E584" i="3"/>
  <c r="D584" i="3"/>
  <c r="B584" i="3"/>
  <c r="E583" i="3"/>
  <c r="F594" i="3" s="1"/>
  <c r="D583" i="3"/>
  <c r="B583" i="3"/>
  <c r="E582" i="3"/>
  <c r="D582" i="3"/>
  <c r="C582" i="3"/>
  <c r="B582" i="3"/>
  <c r="E581" i="3"/>
  <c r="D581" i="3"/>
  <c r="B581" i="3"/>
  <c r="E580" i="3"/>
  <c r="D580" i="3"/>
  <c r="B580" i="3"/>
  <c r="E579" i="3"/>
  <c r="F590" i="3" s="1"/>
  <c r="D579" i="3"/>
  <c r="B579" i="3"/>
  <c r="E578" i="3"/>
  <c r="D578" i="3"/>
  <c r="B578" i="3"/>
  <c r="E577" i="3"/>
  <c r="F588" i="3" s="1"/>
  <c r="D577" i="3"/>
  <c r="B577" i="3"/>
  <c r="E576" i="3"/>
  <c r="D576" i="3"/>
  <c r="B576" i="3"/>
  <c r="F575" i="3"/>
  <c r="E575" i="3"/>
  <c r="D575" i="3"/>
  <c r="B575" i="3"/>
  <c r="E574" i="3"/>
  <c r="D574" i="3"/>
  <c r="B574" i="3"/>
  <c r="E573" i="3"/>
  <c r="D573" i="3"/>
  <c r="B573" i="3"/>
  <c r="E572" i="3"/>
  <c r="D572" i="3"/>
  <c r="B572" i="3"/>
  <c r="E571" i="3"/>
  <c r="D571" i="3"/>
  <c r="B571" i="3"/>
  <c r="E570" i="3"/>
  <c r="D570" i="3"/>
  <c r="B570" i="3"/>
  <c r="E569" i="3"/>
  <c r="D569" i="3"/>
  <c r="B569" i="3"/>
  <c r="C581" i="3" s="1"/>
  <c r="E568" i="3"/>
  <c r="F579" i="3" s="1"/>
  <c r="D568" i="3"/>
  <c r="B568" i="3"/>
  <c r="E567" i="3"/>
  <c r="D567" i="3"/>
  <c r="B567" i="3"/>
  <c r="C579" i="3" s="1"/>
  <c r="E566" i="3"/>
  <c r="D566" i="3"/>
  <c r="B566" i="3"/>
  <c r="E565" i="3"/>
  <c r="F576" i="3" s="1"/>
  <c r="D565" i="3"/>
  <c r="B565" i="3"/>
  <c r="E564" i="3"/>
  <c r="D564" i="3"/>
  <c r="C564" i="3"/>
  <c r="B564" i="3"/>
  <c r="E563" i="3"/>
  <c r="F574" i="3" s="1"/>
  <c r="D563" i="3"/>
  <c r="B563" i="3"/>
  <c r="C575" i="3" s="1"/>
  <c r="E562" i="3"/>
  <c r="D562" i="3"/>
  <c r="B562" i="3"/>
  <c r="E561" i="3"/>
  <c r="F572" i="3" s="1"/>
  <c r="D561" i="3"/>
  <c r="B561" i="3"/>
  <c r="C573" i="3" s="1"/>
  <c r="E560" i="3"/>
  <c r="D560" i="3"/>
  <c r="B560" i="3"/>
  <c r="E559" i="3"/>
  <c r="D559" i="3"/>
  <c r="B559" i="3"/>
  <c r="E558" i="3"/>
  <c r="D558" i="3"/>
  <c r="B558" i="3"/>
  <c r="E557" i="3"/>
  <c r="F568" i="3" s="1"/>
  <c r="D557" i="3"/>
  <c r="B557" i="3"/>
  <c r="E556" i="3"/>
  <c r="F567" i="3" s="1"/>
  <c r="D556" i="3"/>
  <c r="B556" i="3"/>
  <c r="E555" i="3"/>
  <c r="D555" i="3"/>
  <c r="B555" i="3"/>
  <c r="C567" i="3" s="1"/>
  <c r="E554" i="3"/>
  <c r="D554" i="3"/>
  <c r="B554" i="3"/>
  <c r="C566" i="3" s="1"/>
  <c r="E553" i="3"/>
  <c r="D553" i="3"/>
  <c r="B553" i="3"/>
  <c r="E552" i="3"/>
  <c r="D552" i="3"/>
  <c r="B552" i="3"/>
  <c r="E551" i="3"/>
  <c r="D551" i="3"/>
  <c r="B551" i="3"/>
  <c r="E550" i="3"/>
  <c r="D550" i="3"/>
  <c r="B550" i="3"/>
  <c r="C550" i="3" s="1"/>
  <c r="E549" i="3"/>
  <c r="D549" i="3"/>
  <c r="B549" i="3"/>
  <c r="E548" i="3"/>
  <c r="D548" i="3"/>
  <c r="B548" i="3"/>
  <c r="C548" i="3" s="1"/>
  <c r="E547" i="3"/>
  <c r="D547" i="3"/>
  <c r="B547" i="3"/>
  <c r="E546" i="3"/>
  <c r="D546" i="3"/>
  <c r="B546" i="3"/>
  <c r="C546" i="3" s="1"/>
  <c r="E545" i="3"/>
  <c r="D545" i="3"/>
  <c r="B545" i="3"/>
  <c r="E544" i="3"/>
  <c r="D544" i="3"/>
  <c r="B544" i="3"/>
  <c r="E543" i="3"/>
  <c r="D543" i="3"/>
  <c r="B543" i="3"/>
  <c r="E542" i="3"/>
  <c r="F553" i="3" s="1"/>
  <c r="D542" i="3"/>
  <c r="B542" i="3"/>
  <c r="C554" i="3" s="1"/>
  <c r="E541" i="3"/>
  <c r="D541" i="3"/>
  <c r="B541" i="3"/>
  <c r="E540" i="3"/>
  <c r="F551" i="3" s="1"/>
  <c r="D540" i="3"/>
  <c r="B540" i="3"/>
  <c r="E539" i="3"/>
  <c r="D539" i="3"/>
  <c r="B539" i="3"/>
  <c r="E538" i="3"/>
  <c r="D538" i="3"/>
  <c r="B538" i="3"/>
  <c r="C538" i="3" s="1"/>
  <c r="E537" i="3"/>
  <c r="D537" i="3"/>
  <c r="B537" i="3"/>
  <c r="E536" i="3"/>
  <c r="D536" i="3"/>
  <c r="B536" i="3"/>
  <c r="C536" i="3" s="1"/>
  <c r="E535" i="3"/>
  <c r="D535" i="3"/>
  <c r="B535" i="3"/>
  <c r="C547" i="3" s="1"/>
  <c r="E534" i="3"/>
  <c r="D534" i="3"/>
  <c r="B534" i="3"/>
  <c r="C534" i="3" s="1"/>
  <c r="E533" i="3"/>
  <c r="D533" i="3"/>
  <c r="B533" i="3"/>
  <c r="C545" i="3" s="1"/>
  <c r="E532" i="3"/>
  <c r="D532" i="3"/>
  <c r="B532" i="3"/>
  <c r="C544" i="3" s="1"/>
  <c r="E531" i="3"/>
  <c r="D531" i="3"/>
  <c r="B531" i="3"/>
  <c r="E530" i="3"/>
  <c r="D530" i="3"/>
  <c r="B530" i="3"/>
  <c r="C530" i="3" s="1"/>
  <c r="E529" i="3"/>
  <c r="D529" i="3"/>
  <c r="B529" i="3"/>
  <c r="E528" i="3"/>
  <c r="F539" i="3" s="1"/>
  <c r="D528" i="3"/>
  <c r="B528" i="3"/>
  <c r="E527" i="3"/>
  <c r="D527" i="3"/>
  <c r="B527" i="3"/>
  <c r="C539" i="3" s="1"/>
  <c r="E526" i="3"/>
  <c r="F537" i="3" s="1"/>
  <c r="D526" i="3"/>
  <c r="B526" i="3"/>
  <c r="E525" i="3"/>
  <c r="D525" i="3"/>
  <c r="B525" i="3"/>
  <c r="C537" i="3" s="1"/>
  <c r="E524" i="3"/>
  <c r="F535" i="3" s="1"/>
  <c r="D524" i="3"/>
  <c r="B524" i="3"/>
  <c r="E523" i="3"/>
  <c r="D523" i="3"/>
  <c r="B523" i="3"/>
  <c r="E522" i="3"/>
  <c r="F533" i="3" s="1"/>
  <c r="D522" i="3"/>
  <c r="B522" i="3"/>
  <c r="E521" i="3"/>
  <c r="D521" i="3"/>
  <c r="B521" i="3"/>
  <c r="E520" i="3"/>
  <c r="D520" i="3"/>
  <c r="C520" i="3"/>
  <c r="B520" i="3"/>
  <c r="E519" i="3"/>
  <c r="D519" i="3"/>
  <c r="B519" i="3"/>
  <c r="C531" i="3" s="1"/>
  <c r="E518" i="3"/>
  <c r="D518" i="3"/>
  <c r="B518" i="3"/>
  <c r="E517" i="3"/>
  <c r="D517" i="3"/>
  <c r="B517" i="3"/>
  <c r="C529" i="3" s="1"/>
  <c r="E516" i="3"/>
  <c r="D516" i="3"/>
  <c r="B516" i="3"/>
  <c r="E515" i="3"/>
  <c r="F515" i="3" s="1"/>
  <c r="D515" i="3"/>
  <c r="B515" i="3"/>
  <c r="E514" i="3"/>
  <c r="D514" i="3"/>
  <c r="B514" i="3"/>
  <c r="E513" i="3"/>
  <c r="D513" i="3"/>
  <c r="B513" i="3"/>
  <c r="E512" i="3"/>
  <c r="F523" i="3" s="1"/>
  <c r="D512" i="3"/>
  <c r="B512" i="3"/>
  <c r="E511" i="3"/>
  <c r="F511" i="3" s="1"/>
  <c r="D511" i="3"/>
  <c r="B511" i="3"/>
  <c r="E510" i="3"/>
  <c r="F521" i="3" s="1"/>
  <c r="D510" i="3"/>
  <c r="B510" i="3"/>
  <c r="E509" i="3"/>
  <c r="F509" i="3" s="1"/>
  <c r="D509" i="3"/>
  <c r="B509" i="3"/>
  <c r="C521" i="3" s="1"/>
  <c r="E508" i="3"/>
  <c r="D508" i="3"/>
  <c r="B508" i="3"/>
  <c r="E507" i="3"/>
  <c r="D507" i="3"/>
  <c r="B507" i="3"/>
  <c r="C519" i="3" s="1"/>
  <c r="E506" i="3"/>
  <c r="D506" i="3"/>
  <c r="B506" i="3"/>
  <c r="E505" i="3"/>
  <c r="F516" i="3" s="1"/>
  <c r="D505" i="3"/>
  <c r="B505" i="3"/>
  <c r="C517" i="3" s="1"/>
  <c r="E504" i="3"/>
  <c r="D504" i="3"/>
  <c r="B504" i="3"/>
  <c r="E503" i="3"/>
  <c r="F514" i="3" s="1"/>
  <c r="D503" i="3"/>
  <c r="B503" i="3"/>
  <c r="C515" i="3" s="1"/>
  <c r="E502" i="3"/>
  <c r="D502" i="3"/>
  <c r="B502" i="3"/>
  <c r="E501" i="3"/>
  <c r="D501" i="3"/>
  <c r="B501" i="3"/>
  <c r="E500" i="3"/>
  <c r="D500" i="3"/>
  <c r="B500" i="3"/>
  <c r="E499" i="3"/>
  <c r="D499" i="3"/>
  <c r="B499" i="3"/>
  <c r="E498" i="3"/>
  <c r="D498" i="3"/>
  <c r="B498" i="3"/>
  <c r="E497" i="3"/>
  <c r="D497" i="3"/>
  <c r="B497" i="3"/>
  <c r="E496" i="3"/>
  <c r="D496" i="3"/>
  <c r="B496" i="3"/>
  <c r="E495" i="3"/>
  <c r="F495" i="3" s="1"/>
  <c r="D495" i="3"/>
  <c r="B495" i="3"/>
  <c r="E494" i="3"/>
  <c r="F505" i="3" s="1"/>
  <c r="D494" i="3"/>
  <c r="B494" i="3"/>
  <c r="F493" i="3"/>
  <c r="E493" i="3"/>
  <c r="D493" i="3"/>
  <c r="B493" i="3"/>
  <c r="E492" i="3"/>
  <c r="D492" i="3"/>
  <c r="B492" i="3"/>
  <c r="E491" i="3"/>
  <c r="D491" i="3"/>
  <c r="B491" i="3"/>
  <c r="C503" i="3" s="1"/>
  <c r="E490" i="3"/>
  <c r="F501" i="3" s="1"/>
  <c r="D490" i="3"/>
  <c r="B490" i="3"/>
  <c r="E489" i="3"/>
  <c r="F500" i="3" s="1"/>
  <c r="D489" i="3"/>
  <c r="B489" i="3"/>
  <c r="E488" i="3"/>
  <c r="D488" i="3"/>
  <c r="C488" i="3"/>
  <c r="B488" i="3"/>
  <c r="E487" i="3"/>
  <c r="F498" i="3" s="1"/>
  <c r="D487" i="3"/>
  <c r="B487" i="3"/>
  <c r="C499" i="3" s="1"/>
  <c r="E486" i="3"/>
  <c r="D486" i="3"/>
  <c r="B486" i="3"/>
  <c r="E485" i="3"/>
  <c r="D485" i="3"/>
  <c r="B485" i="3"/>
  <c r="E484" i="3"/>
  <c r="D484" i="3"/>
  <c r="B484" i="3"/>
  <c r="C484" i="3" s="1"/>
  <c r="E483" i="3"/>
  <c r="D483" i="3"/>
  <c r="B483" i="3"/>
  <c r="E482" i="3"/>
  <c r="D482" i="3"/>
  <c r="B482" i="3"/>
  <c r="E481" i="3"/>
  <c r="D481" i="3"/>
  <c r="B481" i="3"/>
  <c r="E480" i="3"/>
  <c r="D480" i="3"/>
  <c r="B480" i="3"/>
  <c r="E479" i="3"/>
  <c r="D479" i="3"/>
  <c r="B479" i="3"/>
  <c r="C491" i="3" s="1"/>
  <c r="E478" i="3"/>
  <c r="D478" i="3"/>
  <c r="B478" i="3"/>
  <c r="E477" i="3"/>
  <c r="D477" i="3"/>
  <c r="B477" i="3"/>
  <c r="E476" i="3"/>
  <c r="F487" i="3" s="1"/>
  <c r="D476" i="3"/>
  <c r="B476" i="3"/>
  <c r="E475" i="3"/>
  <c r="D475" i="3"/>
  <c r="B475" i="3"/>
  <c r="E474" i="3"/>
  <c r="D474" i="3"/>
  <c r="B474" i="3"/>
  <c r="C474" i="3" s="1"/>
  <c r="E473" i="3"/>
  <c r="F484" i="3" s="1"/>
  <c r="D473" i="3"/>
  <c r="B473" i="3"/>
  <c r="C485" i="3" s="1"/>
  <c r="E472" i="3"/>
  <c r="D472" i="3"/>
  <c r="B472" i="3"/>
  <c r="E471" i="3"/>
  <c r="F482" i="3" s="1"/>
  <c r="D471" i="3"/>
  <c r="B471" i="3"/>
  <c r="C483" i="3" s="1"/>
  <c r="E470" i="3"/>
  <c r="D470" i="3"/>
  <c r="B470" i="3"/>
  <c r="E469" i="3"/>
  <c r="D469" i="3"/>
  <c r="B469" i="3"/>
  <c r="E468" i="3"/>
  <c r="D468" i="3"/>
  <c r="B468" i="3"/>
  <c r="E467" i="3"/>
  <c r="D467" i="3"/>
  <c r="B467" i="3"/>
  <c r="E466" i="3"/>
  <c r="D466" i="3"/>
  <c r="B466" i="3"/>
  <c r="C478" i="3" s="1"/>
  <c r="E465" i="3"/>
  <c r="D465" i="3"/>
  <c r="B465" i="3"/>
  <c r="C477" i="3" s="1"/>
  <c r="E464" i="3"/>
  <c r="D464" i="3"/>
  <c r="B464" i="3"/>
  <c r="E463" i="3"/>
  <c r="D463" i="3"/>
  <c r="B463" i="3"/>
  <c r="C475" i="3" s="1"/>
  <c r="E462" i="3"/>
  <c r="D462" i="3"/>
  <c r="B462" i="3"/>
  <c r="E461" i="3"/>
  <c r="D461" i="3"/>
  <c r="B461" i="3"/>
  <c r="E460" i="3"/>
  <c r="D460" i="3"/>
  <c r="B460" i="3"/>
  <c r="E459" i="3"/>
  <c r="F470" i="3" s="1"/>
  <c r="D459" i="3"/>
  <c r="B459" i="3"/>
  <c r="E458" i="3"/>
  <c r="D458" i="3"/>
  <c r="B458" i="3"/>
  <c r="E457" i="3"/>
  <c r="D457" i="3"/>
  <c r="B457" i="3"/>
  <c r="E456" i="3"/>
  <c r="D456" i="3"/>
  <c r="B456" i="3"/>
  <c r="C456" i="3" s="1"/>
  <c r="E455" i="3"/>
  <c r="F466" i="3" s="1"/>
  <c r="D455" i="3"/>
  <c r="B455" i="3"/>
  <c r="E454" i="3"/>
  <c r="D454" i="3"/>
  <c r="B454" i="3"/>
  <c r="C454" i="3" s="1"/>
  <c r="E453" i="3"/>
  <c r="D453" i="3"/>
  <c r="B453" i="3"/>
  <c r="E452" i="3"/>
  <c r="D452" i="3"/>
  <c r="B452" i="3"/>
  <c r="E451" i="3"/>
  <c r="D451" i="3"/>
  <c r="B451" i="3"/>
  <c r="E450" i="3"/>
  <c r="D450" i="3"/>
  <c r="B450" i="3"/>
  <c r="C462" i="3" s="1"/>
  <c r="E449" i="3"/>
  <c r="D449" i="3"/>
  <c r="B449" i="3"/>
  <c r="E448" i="3"/>
  <c r="F459" i="3" s="1"/>
  <c r="D448" i="3"/>
  <c r="B448" i="3"/>
  <c r="E447" i="3"/>
  <c r="F458" i="3" s="1"/>
  <c r="D447" i="3"/>
  <c r="B447" i="3"/>
  <c r="E446" i="3"/>
  <c r="D446" i="3"/>
  <c r="C446" i="3"/>
  <c r="B446" i="3"/>
  <c r="E445" i="3"/>
  <c r="F456" i="3" s="1"/>
  <c r="D445" i="3"/>
  <c r="B445" i="3"/>
  <c r="C457" i="3" s="1"/>
  <c r="E444" i="3"/>
  <c r="D444" i="3"/>
  <c r="B444" i="3"/>
  <c r="E443" i="3"/>
  <c r="D443" i="3"/>
  <c r="B443" i="3"/>
  <c r="C455" i="3" s="1"/>
  <c r="E442" i="3"/>
  <c r="D442" i="3"/>
  <c r="B442" i="3"/>
  <c r="E441" i="3"/>
  <c r="D441" i="3"/>
  <c r="B441" i="3"/>
  <c r="E440" i="3"/>
  <c r="D440" i="3"/>
  <c r="B440" i="3"/>
  <c r="E439" i="3"/>
  <c r="D439" i="3"/>
  <c r="B439" i="3"/>
  <c r="E438" i="3"/>
  <c r="F449" i="3" s="1"/>
  <c r="D438" i="3"/>
  <c r="B438" i="3"/>
  <c r="E437" i="3"/>
  <c r="D437" i="3"/>
  <c r="B437" i="3"/>
  <c r="E436" i="3"/>
  <c r="D436" i="3"/>
  <c r="B436" i="3"/>
  <c r="C448" i="3" s="1"/>
  <c r="E435" i="3"/>
  <c r="D435" i="3"/>
  <c r="B435" i="3"/>
  <c r="C447" i="3" s="1"/>
  <c r="E434" i="3"/>
  <c r="D434" i="3"/>
  <c r="B434" i="3"/>
  <c r="E433" i="3"/>
  <c r="D433" i="3"/>
  <c r="B433" i="3"/>
  <c r="E432" i="3"/>
  <c r="D432" i="3"/>
  <c r="B432" i="3"/>
  <c r="E431" i="3"/>
  <c r="D431" i="3"/>
  <c r="B431" i="3"/>
  <c r="C431" i="3" s="1"/>
  <c r="E430" i="3"/>
  <c r="F430" i="3" s="1"/>
  <c r="D430" i="3"/>
  <c r="B430" i="3"/>
  <c r="E429" i="3"/>
  <c r="F440" i="3" s="1"/>
  <c r="D429" i="3"/>
  <c r="B429" i="3"/>
  <c r="E428" i="3"/>
  <c r="D428" i="3"/>
  <c r="B428" i="3"/>
  <c r="E427" i="3"/>
  <c r="D427" i="3"/>
  <c r="B427" i="3"/>
  <c r="E426" i="3"/>
  <c r="F437" i="3" s="1"/>
  <c r="D426" i="3"/>
  <c r="B426" i="3"/>
  <c r="C438" i="3" s="1"/>
  <c r="E425" i="3"/>
  <c r="D425" i="3"/>
  <c r="B425" i="3"/>
  <c r="E424" i="3"/>
  <c r="D424" i="3"/>
  <c r="B424" i="3"/>
  <c r="E423" i="3"/>
  <c r="D423" i="3"/>
  <c r="B423" i="3"/>
  <c r="E422" i="3"/>
  <c r="F433" i="3" s="1"/>
  <c r="D422" i="3"/>
  <c r="B422" i="3"/>
  <c r="E421" i="3"/>
  <c r="D421" i="3"/>
  <c r="B421" i="3"/>
  <c r="E420" i="3"/>
  <c r="D420" i="3"/>
  <c r="B420" i="3"/>
  <c r="E419" i="3"/>
  <c r="D419" i="3"/>
  <c r="B419" i="3"/>
  <c r="E418" i="3"/>
  <c r="D418" i="3"/>
  <c r="B418" i="3"/>
  <c r="E417" i="3"/>
  <c r="D417" i="3"/>
  <c r="B417" i="3"/>
  <c r="E416" i="3"/>
  <c r="D416" i="3"/>
  <c r="B416" i="3"/>
  <c r="E415" i="3"/>
  <c r="D415" i="3"/>
  <c r="B415" i="3"/>
  <c r="F414" i="3"/>
  <c r="E414" i="3"/>
  <c r="D414" i="3"/>
  <c r="B414" i="3"/>
  <c r="E413" i="3"/>
  <c r="F424" i="3" s="1"/>
  <c r="D413" i="3"/>
  <c r="B413" i="3"/>
  <c r="C425" i="3" s="1"/>
  <c r="E412" i="3"/>
  <c r="F412" i="3" s="1"/>
  <c r="D412" i="3"/>
  <c r="B412" i="3"/>
  <c r="E411" i="3"/>
  <c r="D411" i="3"/>
  <c r="B411" i="3"/>
  <c r="E410" i="3"/>
  <c r="D410" i="3"/>
  <c r="B410" i="3"/>
  <c r="C422" i="3" s="1"/>
  <c r="E409" i="3"/>
  <c r="D409" i="3"/>
  <c r="B409" i="3"/>
  <c r="E408" i="3"/>
  <c r="F419" i="3" s="1"/>
  <c r="D408" i="3"/>
  <c r="B408" i="3"/>
  <c r="E407" i="3"/>
  <c r="F407" i="3" s="1"/>
  <c r="D407" i="3"/>
  <c r="B407" i="3"/>
  <c r="E406" i="3"/>
  <c r="D406" i="3"/>
  <c r="B406" i="3"/>
  <c r="E405" i="3"/>
  <c r="F405" i="3" s="1"/>
  <c r="D405" i="3"/>
  <c r="B405" i="3"/>
  <c r="E404" i="3"/>
  <c r="F415" i="3" s="1"/>
  <c r="D404" i="3"/>
  <c r="B404" i="3"/>
  <c r="E403" i="3"/>
  <c r="D403" i="3"/>
  <c r="B403" i="3"/>
  <c r="E402" i="3"/>
  <c r="D402" i="3"/>
  <c r="B402" i="3"/>
  <c r="C414" i="3" s="1"/>
  <c r="E401" i="3"/>
  <c r="D401" i="3"/>
  <c r="B401" i="3"/>
  <c r="E400" i="3"/>
  <c r="F400" i="3" s="1"/>
  <c r="D400" i="3"/>
  <c r="B400" i="3"/>
  <c r="E399" i="3"/>
  <c r="D399" i="3"/>
  <c r="B399" i="3"/>
  <c r="E398" i="3"/>
  <c r="D398" i="3"/>
  <c r="B398" i="3"/>
  <c r="E397" i="3"/>
  <c r="D397" i="3"/>
  <c r="B397" i="3"/>
  <c r="F396" i="3"/>
  <c r="E396" i="3"/>
  <c r="D396" i="3"/>
  <c r="B396" i="3"/>
  <c r="E395" i="3"/>
  <c r="F406" i="3" s="1"/>
  <c r="D395" i="3"/>
  <c r="B395" i="3"/>
  <c r="E394" i="3"/>
  <c r="D394" i="3"/>
  <c r="B394" i="3"/>
  <c r="E393" i="3"/>
  <c r="D393" i="3"/>
  <c r="B393" i="3"/>
  <c r="C393" i="3" s="1"/>
  <c r="E392" i="3"/>
  <c r="D392" i="3"/>
  <c r="B392" i="3"/>
  <c r="C404" i="3" s="1"/>
  <c r="E391" i="3"/>
  <c r="F391" i="3" s="1"/>
  <c r="D391" i="3"/>
  <c r="B391" i="3"/>
  <c r="E390" i="3"/>
  <c r="F401" i="3" s="1"/>
  <c r="D390" i="3"/>
  <c r="B390" i="3"/>
  <c r="E389" i="3"/>
  <c r="D389" i="3"/>
  <c r="B389" i="3"/>
  <c r="E388" i="3"/>
  <c r="D388" i="3"/>
  <c r="B388" i="3"/>
  <c r="E387" i="3"/>
  <c r="D387" i="3"/>
  <c r="B387" i="3"/>
  <c r="C387" i="3" s="1"/>
  <c r="E386" i="3"/>
  <c r="D386" i="3"/>
  <c r="B386" i="3"/>
  <c r="E385" i="3"/>
  <c r="D385" i="3"/>
  <c r="B385" i="3"/>
  <c r="C385" i="3" s="1"/>
  <c r="E384" i="3"/>
  <c r="F384" i="3" s="1"/>
  <c r="D384" i="3"/>
  <c r="B384" i="3"/>
  <c r="E383" i="3"/>
  <c r="D383" i="3"/>
  <c r="B383" i="3"/>
  <c r="E382" i="3"/>
  <c r="F382" i="3" s="1"/>
  <c r="D382" i="3"/>
  <c r="B382" i="3"/>
  <c r="E381" i="3"/>
  <c r="D381" i="3"/>
  <c r="B381" i="3"/>
  <c r="E380" i="3"/>
  <c r="D380" i="3"/>
  <c r="B380" i="3"/>
  <c r="E379" i="3"/>
  <c r="D379" i="3"/>
  <c r="B379" i="3"/>
  <c r="C391" i="3" s="1"/>
  <c r="E378" i="3"/>
  <c r="D378" i="3"/>
  <c r="B378" i="3"/>
  <c r="E377" i="3"/>
  <c r="F388" i="3" s="1"/>
  <c r="D377" i="3"/>
  <c r="B377" i="3"/>
  <c r="E376" i="3"/>
  <c r="D376" i="3"/>
  <c r="B376" i="3"/>
  <c r="C388" i="3" s="1"/>
  <c r="E375" i="3"/>
  <c r="D375" i="3"/>
  <c r="B375" i="3"/>
  <c r="E374" i="3"/>
  <c r="F385" i="3" s="1"/>
  <c r="D374" i="3"/>
  <c r="C374" i="3"/>
  <c r="B374" i="3"/>
  <c r="C386" i="3" s="1"/>
  <c r="E373" i="3"/>
  <c r="D373" i="3"/>
  <c r="B373" i="3"/>
  <c r="E372" i="3"/>
  <c r="F383" i="3" s="1"/>
  <c r="D372" i="3"/>
  <c r="B372" i="3"/>
  <c r="E371" i="3"/>
  <c r="D371" i="3"/>
  <c r="B371" i="3"/>
  <c r="E370" i="3"/>
  <c r="D370" i="3"/>
  <c r="B370" i="3"/>
  <c r="E369" i="3"/>
  <c r="D369" i="3"/>
  <c r="B369" i="3"/>
  <c r="C369" i="3" s="1"/>
  <c r="E368" i="3"/>
  <c r="F379" i="3" s="1"/>
  <c r="D368" i="3"/>
  <c r="B368" i="3"/>
  <c r="E367" i="3"/>
  <c r="D367" i="3"/>
  <c r="B367" i="3"/>
  <c r="C367" i="3" s="1"/>
  <c r="E366" i="3"/>
  <c r="D366" i="3"/>
  <c r="B366" i="3"/>
  <c r="E365" i="3"/>
  <c r="D365" i="3"/>
  <c r="B365" i="3"/>
  <c r="E364" i="3"/>
  <c r="D364" i="3"/>
  <c r="B364" i="3"/>
  <c r="E363" i="3"/>
  <c r="D363" i="3"/>
  <c r="B363" i="3"/>
  <c r="E362" i="3"/>
  <c r="D362" i="3"/>
  <c r="B362" i="3"/>
  <c r="E361" i="3"/>
  <c r="D361" i="3"/>
  <c r="B361" i="3"/>
  <c r="C373" i="3" s="1"/>
  <c r="E360" i="3"/>
  <c r="D360" i="3"/>
  <c r="B360" i="3"/>
  <c r="E359" i="3"/>
  <c r="F370" i="3" s="1"/>
  <c r="D359" i="3"/>
  <c r="B359" i="3"/>
  <c r="C371" i="3" s="1"/>
  <c r="E358" i="3"/>
  <c r="D358" i="3"/>
  <c r="B358" i="3"/>
  <c r="F357" i="3"/>
  <c r="E357" i="3"/>
  <c r="D357" i="3"/>
  <c r="B357" i="3"/>
  <c r="E356" i="3"/>
  <c r="D356" i="3"/>
  <c r="B356" i="3"/>
  <c r="C368" i="3" s="1"/>
  <c r="E355" i="3"/>
  <c r="D355" i="3"/>
  <c r="B355" i="3"/>
  <c r="E354" i="3"/>
  <c r="D354" i="3"/>
  <c r="B354" i="3"/>
  <c r="E353" i="3"/>
  <c r="D353" i="3"/>
  <c r="B353" i="3"/>
  <c r="C365" i="3" s="1"/>
  <c r="E352" i="3"/>
  <c r="F363" i="3" s="1"/>
  <c r="D352" i="3"/>
  <c r="B352" i="3"/>
  <c r="C364" i="3" s="1"/>
  <c r="E351" i="3"/>
  <c r="F362" i="3" s="1"/>
  <c r="D351" i="3"/>
  <c r="B351" i="3"/>
  <c r="E350" i="3"/>
  <c r="D350" i="3"/>
  <c r="B350" i="3"/>
  <c r="C362" i="3" s="1"/>
  <c r="E349" i="3"/>
  <c r="D349" i="3"/>
  <c r="B349" i="3"/>
  <c r="E348" i="3"/>
  <c r="D348" i="3"/>
  <c r="B348" i="3"/>
  <c r="E347" i="3"/>
  <c r="D347" i="3"/>
  <c r="B347" i="3"/>
  <c r="E346" i="3"/>
  <c r="D346" i="3"/>
  <c r="B346" i="3"/>
  <c r="E345" i="3"/>
  <c r="D345" i="3"/>
  <c r="B345" i="3"/>
  <c r="E344" i="3"/>
  <c r="F344" i="3" s="1"/>
  <c r="D344" i="3"/>
  <c r="B344" i="3"/>
  <c r="E343" i="3"/>
  <c r="D343" i="3"/>
  <c r="B343" i="3"/>
  <c r="C355" i="3" s="1"/>
  <c r="E342" i="3"/>
  <c r="F353" i="3" s="1"/>
  <c r="D342" i="3"/>
  <c r="B342" i="3"/>
  <c r="E341" i="3"/>
  <c r="D341" i="3"/>
  <c r="B341" i="3"/>
  <c r="F340" i="3"/>
  <c r="E340" i="3"/>
  <c r="D340" i="3"/>
  <c r="B340" i="3"/>
  <c r="C352" i="3" s="1"/>
  <c r="E339" i="3"/>
  <c r="D339" i="3"/>
  <c r="B339" i="3"/>
  <c r="E338" i="3"/>
  <c r="D338" i="3"/>
  <c r="B338" i="3"/>
  <c r="E337" i="3"/>
  <c r="D337" i="3"/>
  <c r="B337" i="3"/>
  <c r="E336" i="3"/>
  <c r="D336" i="3"/>
  <c r="B336" i="3"/>
  <c r="E335" i="3"/>
  <c r="D335" i="3"/>
  <c r="B335" i="3"/>
  <c r="E334" i="3"/>
  <c r="D334" i="3"/>
  <c r="B334" i="3"/>
  <c r="E333" i="3"/>
  <c r="D333" i="3"/>
  <c r="B333" i="3"/>
  <c r="E332" i="3"/>
  <c r="F343" i="3" s="1"/>
  <c r="D332" i="3"/>
  <c r="B332" i="3"/>
  <c r="E331" i="3"/>
  <c r="F331" i="3" s="1"/>
  <c r="D331" i="3"/>
  <c r="B331" i="3"/>
  <c r="F330" i="3"/>
  <c r="E330" i="3"/>
  <c r="F341" i="3" s="1"/>
  <c r="D330" i="3"/>
  <c r="B330" i="3"/>
  <c r="E329" i="3"/>
  <c r="F329" i="3" s="1"/>
  <c r="D329" i="3"/>
  <c r="B329" i="3"/>
  <c r="E328" i="3"/>
  <c r="F328" i="3" s="1"/>
  <c r="D328" i="3"/>
  <c r="B328" i="3"/>
  <c r="C340" i="3" s="1"/>
  <c r="E327" i="3"/>
  <c r="F327" i="3" s="1"/>
  <c r="D327" i="3"/>
  <c r="B327" i="3"/>
  <c r="E326" i="3"/>
  <c r="F326" i="3" s="1"/>
  <c r="D326" i="3"/>
  <c r="B326" i="3"/>
  <c r="C338" i="3" s="1"/>
  <c r="E325" i="3"/>
  <c r="F336" i="3" s="1"/>
  <c r="D325" i="3"/>
  <c r="B325" i="3"/>
  <c r="E324" i="3"/>
  <c r="F324" i="3" s="1"/>
  <c r="D324" i="3"/>
  <c r="B324" i="3"/>
  <c r="E323" i="3"/>
  <c r="D323" i="3"/>
  <c r="B323" i="3"/>
  <c r="E322" i="3"/>
  <c r="F322" i="3" s="1"/>
  <c r="D322" i="3"/>
  <c r="B322" i="3"/>
  <c r="F321" i="3"/>
  <c r="D321" i="3"/>
  <c r="B321" i="3"/>
  <c r="F320" i="3"/>
  <c r="D320" i="3"/>
  <c r="B320" i="3"/>
  <c r="F319" i="3"/>
  <c r="D319" i="3"/>
  <c r="B319" i="3"/>
  <c r="F318" i="3"/>
  <c r="D318" i="3"/>
  <c r="B318" i="3"/>
  <c r="F317" i="3"/>
  <c r="D317" i="3"/>
  <c r="B317" i="3"/>
  <c r="F316" i="3"/>
  <c r="D316" i="3"/>
  <c r="B316" i="3"/>
  <c r="F315" i="3"/>
  <c r="D315" i="3"/>
  <c r="B315" i="3"/>
  <c r="F314" i="3"/>
  <c r="D314" i="3"/>
  <c r="B314" i="3"/>
  <c r="F313" i="3"/>
  <c r="D313" i="3"/>
  <c r="B313" i="3"/>
  <c r="F312" i="3"/>
  <c r="D312" i="3"/>
  <c r="B312" i="3"/>
  <c r="F311" i="3"/>
  <c r="D311" i="3"/>
  <c r="B311" i="3"/>
  <c r="F310" i="3"/>
  <c r="D310" i="3"/>
  <c r="B310" i="3"/>
  <c r="F309" i="3"/>
  <c r="D309" i="3"/>
  <c r="B309" i="3"/>
  <c r="C321" i="3" s="1"/>
  <c r="F308" i="3"/>
  <c r="D308" i="3"/>
  <c r="B308" i="3"/>
  <c r="F307" i="3"/>
  <c r="D307" i="3"/>
  <c r="B307" i="3"/>
  <c r="F306" i="3"/>
  <c r="D306" i="3"/>
  <c r="B306" i="3"/>
  <c r="C306" i="3" s="1"/>
  <c r="F305" i="3"/>
  <c r="D305" i="3"/>
  <c r="B305" i="3"/>
  <c r="F304" i="3"/>
  <c r="D304" i="3"/>
  <c r="B304" i="3"/>
  <c r="C316" i="3" s="1"/>
  <c r="F303" i="3"/>
  <c r="D303" i="3"/>
  <c r="B303" i="3"/>
  <c r="F302" i="3"/>
  <c r="D302" i="3"/>
  <c r="B302" i="3"/>
  <c r="F301" i="3"/>
  <c r="D301" i="3"/>
  <c r="B301" i="3"/>
  <c r="F300" i="3"/>
  <c r="D300" i="3"/>
  <c r="B300" i="3"/>
  <c r="F299" i="3"/>
  <c r="D299" i="3"/>
  <c r="B299" i="3"/>
  <c r="F298" i="3"/>
  <c r="D298" i="3"/>
  <c r="B298" i="3"/>
  <c r="C310" i="3" s="1"/>
  <c r="F297" i="3"/>
  <c r="D297" i="3"/>
  <c r="B297" i="3"/>
  <c r="F296" i="3"/>
  <c r="D296" i="3"/>
  <c r="B296" i="3"/>
  <c r="C308" i="3" s="1"/>
  <c r="F295" i="3"/>
  <c r="D295" i="3"/>
  <c r="B295" i="3"/>
  <c r="F294" i="3"/>
  <c r="D294" i="3"/>
  <c r="B294" i="3"/>
  <c r="F293" i="3"/>
  <c r="D293" i="3"/>
  <c r="B293" i="3"/>
  <c r="F292" i="3"/>
  <c r="D292" i="3"/>
  <c r="B292" i="3"/>
  <c r="F291" i="3"/>
  <c r="D291" i="3"/>
  <c r="B291" i="3"/>
  <c r="C303" i="3" s="1"/>
  <c r="F290" i="3"/>
  <c r="D290" i="3"/>
  <c r="B290" i="3"/>
  <c r="F289" i="3"/>
  <c r="D289" i="3"/>
  <c r="B289" i="3"/>
  <c r="C301" i="3" s="1"/>
  <c r="F288" i="3"/>
  <c r="D288" i="3"/>
  <c r="B288" i="3"/>
  <c r="F287" i="3"/>
  <c r="D287" i="3"/>
  <c r="B287" i="3"/>
  <c r="F286" i="3"/>
  <c r="D286" i="3"/>
  <c r="B286" i="3"/>
  <c r="C298" i="3" s="1"/>
  <c r="F285" i="3"/>
  <c r="D285" i="3"/>
  <c r="B285" i="3"/>
  <c r="F284" i="3"/>
  <c r="D284" i="3"/>
  <c r="B284" i="3"/>
  <c r="F283" i="3"/>
  <c r="D283" i="3"/>
  <c r="B283" i="3"/>
  <c r="F282" i="3"/>
  <c r="D282" i="3"/>
  <c r="B282" i="3"/>
  <c r="F281" i="3"/>
  <c r="D281" i="3"/>
  <c r="B281" i="3"/>
  <c r="F280" i="3"/>
  <c r="D280" i="3"/>
  <c r="B280" i="3"/>
  <c r="F279" i="3"/>
  <c r="D279" i="3"/>
  <c r="B279" i="3"/>
  <c r="F278" i="3"/>
  <c r="D278" i="3"/>
  <c r="B278" i="3"/>
  <c r="F277" i="3"/>
  <c r="D277" i="3"/>
  <c r="B277" i="3"/>
  <c r="F276" i="3"/>
  <c r="D276" i="3"/>
  <c r="B276" i="3"/>
  <c r="F275" i="3"/>
  <c r="D275" i="3"/>
  <c r="B275" i="3"/>
  <c r="F274" i="3"/>
  <c r="D274" i="3"/>
  <c r="B274" i="3"/>
  <c r="F273" i="3"/>
  <c r="D273" i="3"/>
  <c r="B273" i="3"/>
  <c r="C285" i="3" s="1"/>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F260" i="3"/>
  <c r="D260" i="3"/>
  <c r="B260" i="3"/>
  <c r="F259" i="3"/>
  <c r="D259" i="3"/>
  <c r="B259" i="3"/>
  <c r="F258" i="3"/>
  <c r="D258" i="3"/>
  <c r="B258" i="3"/>
  <c r="F257" i="3"/>
  <c r="D257" i="3"/>
  <c r="B257" i="3"/>
  <c r="C269" i="3" s="1"/>
  <c r="F256" i="3"/>
  <c r="D256" i="3"/>
  <c r="B256" i="3"/>
  <c r="F255" i="3"/>
  <c r="D255" i="3"/>
  <c r="B255" i="3"/>
  <c r="F254" i="3"/>
  <c r="D254" i="3"/>
  <c r="B254" i="3"/>
  <c r="F253" i="3"/>
  <c r="D253" i="3"/>
  <c r="B253" i="3"/>
  <c r="F252" i="3"/>
  <c r="D252" i="3"/>
  <c r="B252" i="3"/>
  <c r="F251" i="3"/>
  <c r="D251" i="3"/>
  <c r="B251" i="3"/>
  <c r="F250" i="3"/>
  <c r="D250" i="3"/>
  <c r="B250" i="3"/>
  <c r="F249" i="3"/>
  <c r="D249" i="3"/>
  <c r="B249" i="3"/>
  <c r="C261" i="3" s="1"/>
  <c r="F248" i="3"/>
  <c r="D248" i="3"/>
  <c r="B248" i="3"/>
  <c r="F247" i="3"/>
  <c r="D247" i="3"/>
  <c r="B247" i="3"/>
  <c r="F246" i="3"/>
  <c r="D246" i="3"/>
  <c r="B246" i="3"/>
  <c r="F245" i="3"/>
  <c r="D245" i="3"/>
  <c r="B245" i="3"/>
  <c r="F244" i="3"/>
  <c r="D244" i="3"/>
  <c r="B244" i="3"/>
  <c r="C244" i="3" s="1"/>
  <c r="F243" i="3"/>
  <c r="D243" i="3"/>
  <c r="B243" i="3"/>
  <c r="F242" i="3"/>
  <c r="D242" i="3"/>
  <c r="B242" i="3"/>
  <c r="F241" i="3"/>
  <c r="D241" i="3"/>
  <c r="B241" i="3"/>
  <c r="C253" i="3" s="1"/>
  <c r="F240" i="3"/>
  <c r="D240" i="3"/>
  <c r="B240" i="3"/>
  <c r="C240" i="3" s="1"/>
  <c r="F239" i="3"/>
  <c r="D239" i="3"/>
  <c r="B239" i="3"/>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P18" i="1" s="1"/>
  <c r="Q17" i="1"/>
  <c r="R17" i="1" s="1"/>
  <c r="O17" i="1"/>
  <c r="P17" i="1" s="1"/>
  <c r="N17" i="1"/>
  <c r="Q16" i="1"/>
  <c r="O16" i="1"/>
  <c r="N16" i="1"/>
  <c r="R16" i="1" s="1"/>
  <c r="F585" i="3" l="1"/>
  <c r="C618" i="3"/>
  <c r="C742" i="3"/>
  <c r="C750" i="3"/>
  <c r="C767" i="3"/>
  <c r="C331" i="3"/>
  <c r="C680" i="3"/>
  <c r="C730" i="3"/>
  <c r="F769" i="3"/>
  <c r="C382" i="3"/>
  <c r="C413" i="3"/>
  <c r="C465" i="3"/>
  <c r="C512" i="3"/>
  <c r="F525" i="3"/>
  <c r="F543" i="3"/>
  <c r="C264" i="3"/>
  <c r="C272" i="3"/>
  <c r="C280" i="3"/>
  <c r="C296" i="3"/>
  <c r="C325" i="3"/>
  <c r="C333" i="3"/>
  <c r="C339" i="3"/>
  <c r="F378" i="3"/>
  <c r="F380" i="3"/>
  <c r="F404" i="3"/>
  <c r="F398" i="3"/>
  <c r="C416" i="3"/>
  <c r="F416" i="3"/>
  <c r="F435" i="3"/>
  <c r="F461" i="3"/>
  <c r="F503" i="3"/>
  <c r="C507" i="3"/>
  <c r="F510" i="3"/>
  <c r="F520" i="3"/>
  <c r="C526" i="3"/>
  <c r="F570" i="3"/>
  <c r="C570" i="3"/>
  <c r="C597" i="3"/>
  <c r="F598" i="3"/>
  <c r="C628" i="3"/>
  <c r="F644" i="3"/>
  <c r="C639" i="3"/>
  <c r="C677" i="3"/>
  <c r="F688" i="3"/>
  <c r="F689" i="3"/>
  <c r="C703" i="3"/>
  <c r="C738" i="3"/>
  <c r="F753" i="3"/>
  <c r="F761" i="3"/>
  <c r="C348" i="3"/>
  <c r="C361" i="3"/>
  <c r="C400" i="3"/>
  <c r="C418" i="3"/>
  <c r="C419" i="3"/>
  <c r="C535" i="3"/>
  <c r="F544" i="3"/>
  <c r="C553" i="3"/>
  <c r="C562" i="3"/>
  <c r="C251" i="3"/>
  <c r="C259" i="3"/>
  <c r="C267" i="3"/>
  <c r="C283" i="3"/>
  <c r="C291" i="3"/>
  <c r="C299" i="3"/>
  <c r="C336" i="3"/>
  <c r="C359" i="3"/>
  <c r="F349" i="3"/>
  <c r="F373" i="3"/>
  <c r="C380" i="3"/>
  <c r="F386" i="3"/>
  <c r="C398" i="3"/>
  <c r="F399" i="3"/>
  <c r="C406" i="3"/>
  <c r="F417" i="3"/>
  <c r="C424" i="3"/>
  <c r="C417" i="3"/>
  <c r="F451" i="3"/>
  <c r="F464" i="3"/>
  <c r="F477" i="3"/>
  <c r="F485" i="3"/>
  <c r="C480" i="3"/>
  <c r="C505" i="3"/>
  <c r="C510" i="3"/>
  <c r="F519" i="3"/>
  <c r="F529" i="3"/>
  <c r="C533" i="3"/>
  <c r="F542" i="3"/>
  <c r="F541" i="3"/>
  <c r="F565" i="3"/>
  <c r="C577" i="3"/>
  <c r="F578" i="3"/>
  <c r="F586" i="3"/>
  <c r="F577" i="3"/>
  <c r="C588" i="3"/>
  <c r="F601" i="3"/>
  <c r="C596" i="3"/>
  <c r="C615" i="3"/>
  <c r="F616" i="3"/>
  <c r="F634" i="3"/>
  <c r="C634" i="3"/>
  <c r="F647" i="3"/>
  <c r="F641" i="3"/>
  <c r="F657" i="3"/>
  <c r="F665" i="3"/>
  <c r="C660" i="3"/>
  <c r="F678" i="3"/>
  <c r="F683" i="3"/>
  <c r="C678" i="3"/>
  <c r="C690" i="3"/>
  <c r="F703" i="3"/>
  <c r="F724" i="3"/>
  <c r="C726" i="3"/>
  <c r="C755" i="3"/>
  <c r="C578" i="3"/>
  <c r="F695" i="3"/>
  <c r="C746" i="3"/>
  <c r="C758" i="3"/>
  <c r="C254" i="3"/>
  <c r="C262" i="3"/>
  <c r="C270" i="3"/>
  <c r="C278" i="3"/>
  <c r="C294" i="3"/>
  <c r="C290" i="3"/>
  <c r="C323" i="3"/>
  <c r="C337" i="3"/>
  <c r="C445" i="3"/>
  <c r="C479" i="3"/>
  <c r="C487" i="3"/>
  <c r="C305" i="3"/>
  <c r="C326" i="3"/>
  <c r="C322" i="3"/>
  <c r="C342" i="3"/>
  <c r="C357" i="3"/>
  <c r="C370" i="3"/>
  <c r="C440" i="3"/>
  <c r="F475" i="3"/>
  <c r="F483" i="3"/>
  <c r="C486" i="3"/>
  <c r="C504" i="3"/>
  <c r="F517" i="3"/>
  <c r="F532" i="3"/>
  <c r="F540" i="3"/>
  <c r="F563" i="3"/>
  <c r="C558" i="3"/>
  <c r="C583" i="3"/>
  <c r="F584" i="3"/>
  <c r="C594" i="3"/>
  <c r="F607" i="3"/>
  <c r="C621" i="3"/>
  <c r="C632" i="3"/>
  <c r="C657" i="3"/>
  <c r="F663" i="3"/>
  <c r="C658" i="3"/>
  <c r="F671" i="3"/>
  <c r="F681" i="3"/>
  <c r="C686" i="3"/>
  <c r="F701" i="3"/>
  <c r="F722" i="3"/>
  <c r="F743" i="3"/>
  <c r="C756" i="3"/>
  <c r="C766" i="3"/>
  <c r="F488" i="3"/>
  <c r="F655" i="3"/>
  <c r="C754" i="3"/>
  <c r="F348" i="3"/>
  <c r="F361" i="3"/>
  <c r="F387" i="3"/>
  <c r="F389" i="3"/>
  <c r="C405" i="3"/>
  <c r="F431" i="3"/>
  <c r="F452" i="3"/>
  <c r="F530" i="3"/>
  <c r="F332" i="3"/>
  <c r="C350" i="3"/>
  <c r="C363" i="3"/>
  <c r="F377" i="3"/>
  <c r="C384" i="3"/>
  <c r="C389" i="3"/>
  <c r="F390" i="3"/>
  <c r="C402" i="3"/>
  <c r="F408" i="3"/>
  <c r="C403" i="3"/>
  <c r="C420" i="3"/>
  <c r="F426" i="3"/>
  <c r="C421" i="3"/>
  <c r="F447" i="3"/>
  <c r="F473" i="3"/>
  <c r="F489" i="3"/>
  <c r="C501" i="3"/>
  <c r="F507" i="3"/>
  <c r="C555" i="3"/>
  <c r="F561" i="3"/>
  <c r="C568" i="3"/>
  <c r="F592" i="3"/>
  <c r="F599" i="3"/>
  <c r="F661" i="3"/>
  <c r="F669" i="3"/>
  <c r="F679" i="3"/>
  <c r="C674" i="3"/>
  <c r="F697" i="3"/>
  <c r="F707" i="3"/>
  <c r="C737" i="3"/>
  <c r="F752" i="3"/>
  <c r="F760" i="3"/>
  <c r="C752" i="3"/>
  <c r="C379" i="3"/>
  <c r="F421" i="3"/>
  <c r="F445" i="3"/>
  <c r="F434" i="3"/>
  <c r="F499" i="3"/>
  <c r="F635" i="3"/>
  <c r="F624" i="3"/>
  <c r="C652" i="3"/>
  <c r="C415" i="3"/>
  <c r="C427" i="3"/>
  <c r="F538" i="3"/>
  <c r="F527" i="3"/>
  <c r="C630" i="3"/>
  <c r="C463" i="3"/>
  <c r="F573" i="3"/>
  <c r="C616" i="3"/>
  <c r="C623" i="3"/>
  <c r="C638" i="3"/>
  <c r="F334" i="3"/>
  <c r="F358" i="3"/>
  <c r="F347" i="3"/>
  <c r="F323" i="3"/>
  <c r="F325" i="3"/>
  <c r="F351" i="3"/>
  <c r="F342" i="3"/>
  <c r="C372" i="3"/>
  <c r="C377" i="3"/>
  <c r="C375" i="3"/>
  <c r="F438" i="3"/>
  <c r="C468" i="3"/>
  <c r="F582" i="3"/>
  <c r="C586" i="3"/>
  <c r="C574" i="3"/>
  <c r="C636" i="3"/>
  <c r="C648" i="3"/>
  <c r="C496" i="3"/>
  <c r="F602" i="3"/>
  <c r="F591" i="3"/>
  <c r="F356" i="3"/>
  <c r="F345" i="3"/>
  <c r="C399" i="3"/>
  <c r="C314" i="3"/>
  <c r="C304" i="3"/>
  <c r="C324" i="3"/>
  <c r="C329" i="3"/>
  <c r="C353" i="3"/>
  <c r="F371" i="3"/>
  <c r="F376" i="3"/>
  <c r="C409" i="3"/>
  <c r="C397" i="3"/>
  <c r="F429" i="3"/>
  <c r="C451" i="3"/>
  <c r="F497" i="3"/>
  <c r="C494" i="3"/>
  <c r="C523" i="3"/>
  <c r="C516" i="3"/>
  <c r="F580" i="3"/>
  <c r="F569" i="3"/>
  <c r="C612" i="3"/>
  <c r="C626" i="3"/>
  <c r="C302" i="3"/>
  <c r="C332" i="3"/>
  <c r="C320" i="3"/>
  <c r="C351" i="3"/>
  <c r="F364" i="3"/>
  <c r="C356" i="3"/>
  <c r="C407" i="3"/>
  <c r="C395" i="3"/>
  <c r="F423" i="3"/>
  <c r="F441" i="3"/>
  <c r="F457" i="3"/>
  <c r="C481" i="3"/>
  <c r="C482" i="3"/>
  <c r="C509" i="3"/>
  <c r="F531" i="3"/>
  <c r="F600" i="3"/>
  <c r="F589" i="3"/>
  <c r="C654" i="3"/>
  <c r="C312" i="3"/>
  <c r="C319" i="3"/>
  <c r="C327" i="3"/>
  <c r="C344" i="3"/>
  <c r="C349" i="3"/>
  <c r="C366" i="3"/>
  <c r="C354" i="3"/>
  <c r="F403" i="3"/>
  <c r="F420" i="3"/>
  <c r="C429" i="3"/>
  <c r="C449" i="3"/>
  <c r="C442" i="3"/>
  <c r="C489" i="3"/>
  <c r="F547" i="3"/>
  <c r="F595" i="3"/>
  <c r="C590" i="3"/>
  <c r="F615" i="3"/>
  <c r="C610" i="3"/>
  <c r="F637" i="3"/>
  <c r="C514" i="3"/>
  <c r="F559" i="3"/>
  <c r="C682" i="3"/>
  <c r="C688" i="3"/>
  <c r="C258" i="3"/>
  <c r="C266" i="3"/>
  <c r="C274" i="3"/>
  <c r="C282" i="3"/>
  <c r="F337" i="3"/>
  <c r="F350" i="3"/>
  <c r="F352" i="3"/>
  <c r="F366" i="3"/>
  <c r="F368" i="3"/>
  <c r="F375" i="3"/>
  <c r="C408" i="3"/>
  <c r="F422" i="3"/>
  <c r="C430" i="3"/>
  <c r="C450" i="3"/>
  <c r="F479" i="3"/>
  <c r="C476" i="3"/>
  <c r="F491" i="3"/>
  <c r="C495" i="3"/>
  <c r="F494" i="3"/>
  <c r="C511" i="3"/>
  <c r="C513" i="3"/>
  <c r="C506" i="3"/>
  <c r="C522" i="3"/>
  <c r="C571" i="3"/>
  <c r="C576" i="3"/>
  <c r="C605" i="3"/>
  <c r="C607" i="3"/>
  <c r="F608" i="3"/>
  <c r="F628" i="3"/>
  <c r="F643" i="3"/>
  <c r="C647" i="3"/>
  <c r="C669" i="3"/>
  <c r="F672" i="3"/>
  <c r="C670" i="3"/>
  <c r="F696" i="3"/>
  <c r="F704" i="3"/>
  <c r="F727" i="3"/>
  <c r="F729" i="3"/>
  <c r="F742" i="3"/>
  <c r="F746" i="3"/>
  <c r="C740" i="3"/>
  <c r="C765" i="3"/>
  <c r="F757" i="3"/>
  <c r="F698" i="3"/>
  <c r="C702" i="3"/>
  <c r="C762" i="3"/>
  <c r="C692" i="3"/>
  <c r="F715" i="3"/>
  <c r="F747" i="3"/>
  <c r="F771" i="3"/>
  <c r="C671" i="3"/>
  <c r="F504" i="3"/>
  <c r="F545" i="3"/>
  <c r="F566" i="3"/>
  <c r="C257" i="3"/>
  <c r="C265" i="3"/>
  <c r="C273" i="3"/>
  <c r="C289" i="3"/>
  <c r="C307" i="3"/>
  <c r="C317" i="3"/>
  <c r="C330" i="3"/>
  <c r="C335" i="3"/>
  <c r="F369" i="3"/>
  <c r="F392" i="3"/>
  <c r="F394" i="3"/>
  <c r="C423" i="3"/>
  <c r="C436" i="3"/>
  <c r="F439" i="3"/>
  <c r="F443" i="3"/>
  <c r="F455" i="3"/>
  <c r="F462" i="3"/>
  <c r="F469" i="3"/>
  <c r="F474" i="3"/>
  <c r="C492" i="3"/>
  <c r="C498" i="3"/>
  <c r="C500" i="3"/>
  <c r="F513" i="3"/>
  <c r="F534" i="3"/>
  <c r="F564" i="3"/>
  <c r="F571" i="3"/>
  <c r="F587" i="3"/>
  <c r="C611" i="3"/>
  <c r="F618" i="3"/>
  <c r="C631" i="3"/>
  <c r="F629" i="3"/>
  <c r="C675" i="3"/>
  <c r="F664" i="3"/>
  <c r="C676" i="3"/>
  <c r="C707" i="3"/>
  <c r="C709" i="3"/>
  <c r="F709" i="3"/>
  <c r="C745" i="3"/>
  <c r="C747" i="3"/>
  <c r="F745" i="3"/>
  <c r="C748" i="3"/>
  <c r="C771" i="3"/>
  <c r="C772" i="3"/>
  <c r="F611" i="3"/>
  <c r="C260" i="3"/>
  <c r="C268" i="3"/>
  <c r="C276" i="3"/>
  <c r="C284" i="3"/>
  <c r="C292" i="3"/>
  <c r="C300" i="3"/>
  <c r="C315" i="3"/>
  <c r="C318" i="3"/>
  <c r="C358" i="3"/>
  <c r="C360" i="3"/>
  <c r="F367" i="3"/>
  <c r="F374" i="3"/>
  <c r="C392" i="3"/>
  <c r="F381" i="3"/>
  <c r="C411" i="3"/>
  <c r="F428" i="3"/>
  <c r="F432" i="3"/>
  <c r="F460" i="3"/>
  <c r="F467" i="3"/>
  <c r="F472" i="3"/>
  <c r="C466" i="3"/>
  <c r="F481" i="3"/>
  <c r="C473" i="3"/>
  <c r="C497" i="3"/>
  <c r="C508" i="3"/>
  <c r="C524" i="3"/>
  <c r="C542" i="3"/>
  <c r="F557" i="3"/>
  <c r="F562" i="3"/>
  <c r="C556" i="3"/>
  <c r="C589" i="3"/>
  <c r="C591" i="3"/>
  <c r="C609" i="3"/>
  <c r="F605" i="3"/>
  <c r="C629" i="3"/>
  <c r="F640" i="3"/>
  <c r="F653" i="3"/>
  <c r="C673" i="3"/>
  <c r="C663" i="3"/>
  <c r="F691" i="3"/>
  <c r="C705" i="3"/>
  <c r="F712" i="3"/>
  <c r="F711" i="3"/>
  <c r="F728" i="3"/>
  <c r="C743" i="3"/>
  <c r="C735" i="3"/>
  <c r="F765" i="3"/>
  <c r="C769" i="3"/>
  <c r="C255" i="3"/>
  <c r="C263" i="3"/>
  <c r="C271" i="3"/>
  <c r="C287" i="3"/>
  <c r="C288" i="3"/>
  <c r="C328" i="3"/>
  <c r="C341" i="3"/>
  <c r="C345" i="3"/>
  <c r="F346" i="3"/>
  <c r="F339" i="3"/>
  <c r="C346" i="3"/>
  <c r="F365" i="3"/>
  <c r="F372" i="3"/>
  <c r="C383" i="3"/>
  <c r="C390" i="3"/>
  <c r="F410" i="3"/>
  <c r="C432" i="3"/>
  <c r="C434" i="3"/>
  <c r="F453" i="3"/>
  <c r="C502" i="3"/>
  <c r="C527" i="3"/>
  <c r="F555" i="3"/>
  <c r="F581" i="3"/>
  <c r="F583" i="3"/>
  <c r="C627" i="3"/>
  <c r="F630" i="3"/>
  <c r="F621" i="3"/>
  <c r="C640" i="3"/>
  <c r="C653" i="3"/>
  <c r="C655" i="3"/>
  <c r="F645" i="3"/>
  <c r="C701" i="3"/>
  <c r="F706" i="3"/>
  <c r="F708" i="3"/>
  <c r="F710" i="3"/>
  <c r="F714" i="3"/>
  <c r="C727" i="3"/>
  <c r="F744" i="3"/>
  <c r="C764" i="3"/>
  <c r="C242" i="3"/>
  <c r="C248" i="3"/>
  <c r="C250" i="3"/>
  <c r="C252" i="3"/>
  <c r="C592" i="3"/>
  <c r="C580" i="3"/>
  <c r="P16" i="1"/>
  <c r="C435" i="3"/>
  <c r="R18" i="1"/>
  <c r="C295" i="3"/>
  <c r="C311" i="3"/>
  <c r="C334" i="3"/>
  <c r="F338" i="3"/>
  <c r="C347" i="3"/>
  <c r="F360" i="3"/>
  <c r="C378" i="3"/>
  <c r="C381" i="3"/>
  <c r="F402" i="3"/>
  <c r="F427" i="3"/>
  <c r="C452" i="3"/>
  <c r="C464" i="3"/>
  <c r="C661" i="3"/>
  <c r="C293" i="3"/>
  <c r="C309" i="3"/>
  <c r="F333" i="3"/>
  <c r="F355" i="3"/>
  <c r="F418" i="3"/>
  <c r="F465" i="3"/>
  <c r="F454" i="3"/>
  <c r="C401" i="3"/>
  <c r="C286" i="3"/>
  <c r="C396" i="3"/>
  <c r="F463" i="3"/>
  <c r="C532" i="3"/>
  <c r="F335" i="3"/>
  <c r="C343" i="3"/>
  <c r="C412" i="3"/>
  <c r="F413" i="3"/>
  <c r="F436" i="3"/>
  <c r="C528" i="3"/>
  <c r="C569" i="3"/>
  <c r="C584" i="3"/>
  <c r="C572" i="3"/>
  <c r="C643" i="3"/>
  <c r="C667" i="3"/>
  <c r="F656" i="3"/>
  <c r="C246" i="3"/>
  <c r="C256" i="3"/>
  <c r="F478" i="3"/>
  <c r="C275" i="3"/>
  <c r="C277" i="3"/>
  <c r="C279" i="3"/>
  <c r="C281" i="3"/>
  <c r="F393" i="3"/>
  <c r="F395" i="3"/>
  <c r="C428" i="3"/>
  <c r="C453" i="3"/>
  <c r="F446" i="3"/>
  <c r="C460" i="3"/>
  <c r="C472" i="3"/>
  <c r="C493" i="3"/>
  <c r="C518" i="3"/>
  <c r="C563" i="3"/>
  <c r="F552" i="3"/>
  <c r="C641" i="3"/>
  <c r="F354" i="3"/>
  <c r="F397" i="3"/>
  <c r="C433" i="3"/>
  <c r="C239" i="3"/>
  <c r="C241" i="3"/>
  <c r="C243" i="3"/>
  <c r="C245" i="3"/>
  <c r="C247" i="3"/>
  <c r="C249" i="3"/>
  <c r="C297" i="3"/>
  <c r="C313" i="3"/>
  <c r="F359" i="3"/>
  <c r="C376" i="3"/>
  <c r="F409" i="3"/>
  <c r="F411" i="3"/>
  <c r="C441" i="3"/>
  <c r="F442" i="3"/>
  <c r="C458" i="3"/>
  <c r="C470" i="3"/>
  <c r="C525" i="3"/>
  <c r="F526" i="3"/>
  <c r="C543" i="3"/>
  <c r="C540" i="3"/>
  <c r="C552" i="3"/>
  <c r="C561" i="3"/>
  <c r="C551" i="3"/>
  <c r="C565" i="3"/>
  <c r="C659" i="3"/>
  <c r="F425" i="3"/>
  <c r="C469" i="3"/>
  <c r="C471" i="3"/>
  <c r="C490" i="3"/>
  <c r="F556" i="3"/>
  <c r="F614" i="3"/>
  <c r="F677" i="3"/>
  <c r="F730" i="3"/>
  <c r="F716" i="3"/>
  <c r="F718" i="3"/>
  <c r="C724" i="3"/>
  <c r="C736" i="3"/>
  <c r="F693" i="3"/>
  <c r="C720" i="3"/>
  <c r="C708" i="3"/>
  <c r="C394" i="3"/>
  <c r="C410" i="3"/>
  <c r="C426" i="3"/>
  <c r="F448" i="3"/>
  <c r="F450" i="3"/>
  <c r="C459" i="3"/>
  <c r="C461" i="3"/>
  <c r="F480" i="3"/>
  <c r="C541" i="3"/>
  <c r="C549" i="3"/>
  <c r="C559" i="3"/>
  <c r="F560" i="3"/>
  <c r="F549" i="3"/>
  <c r="C617" i="3"/>
  <c r="C619" i="3"/>
  <c r="F658" i="3"/>
  <c r="F662" i="3"/>
  <c r="F666" i="3"/>
  <c r="C672" i="3"/>
  <c r="C721" i="3"/>
  <c r="C723" i="3"/>
  <c r="F725" i="3"/>
  <c r="C731" i="3"/>
  <c r="C741" i="3"/>
  <c r="F444" i="3"/>
  <c r="C467" i="3"/>
  <c r="F471" i="3"/>
  <c r="F536" i="3"/>
  <c r="C557" i="3"/>
  <c r="C560" i="3"/>
  <c r="F642" i="3"/>
  <c r="F650" i="3"/>
  <c r="F652" i="3"/>
  <c r="F654" i="3"/>
  <c r="F660" i="3"/>
  <c r="C733" i="3"/>
  <c r="C437" i="3"/>
  <c r="C439" i="3"/>
  <c r="C444" i="3"/>
  <c r="F486" i="3"/>
  <c r="F492" i="3"/>
  <c r="F496" i="3"/>
  <c r="F502" i="3"/>
  <c r="F508" i="3"/>
  <c r="F512" i="3"/>
  <c r="F518" i="3"/>
  <c r="F524" i="3"/>
  <c r="F528" i="3"/>
  <c r="F546" i="3"/>
  <c r="F548" i="3"/>
  <c r="F550" i="3"/>
  <c r="F554" i="3"/>
  <c r="F558" i="3"/>
  <c r="C593" i="3"/>
  <c r="C595" i="3"/>
  <c r="F597" i="3"/>
  <c r="F636" i="3"/>
  <c r="F638" i="3"/>
  <c r="C656" i="3"/>
  <c r="C644" i="3"/>
  <c r="F740" i="3"/>
  <c r="F764" i="3"/>
  <c r="F766" i="3"/>
  <c r="F770" i="3"/>
  <c r="F476" i="3"/>
  <c r="F604" i="3"/>
  <c r="F606" i="3"/>
  <c r="F610" i="3"/>
  <c r="C633" i="3"/>
  <c r="C635" i="3"/>
  <c r="F668" i="3"/>
  <c r="F670" i="3"/>
  <c r="F674" i="3"/>
  <c r="C697" i="3"/>
  <c r="C699" i="3"/>
  <c r="F732" i="3"/>
  <c r="F734" i="3"/>
  <c r="F738" i="3"/>
  <c r="C761" i="3"/>
  <c r="C763" i="3"/>
  <c r="C443" i="3"/>
  <c r="F468" i="3"/>
  <c r="F490" i="3"/>
  <c r="F506" i="3"/>
  <c r="F522" i="3"/>
  <c r="C585" i="3"/>
  <c r="C587" i="3"/>
  <c r="F620" i="3"/>
  <c r="F622" i="3"/>
  <c r="F626" i="3"/>
  <c r="C649" i="3"/>
  <c r="C651" i="3"/>
  <c r="F684" i="3"/>
  <c r="F686" i="3"/>
  <c r="F690" i="3"/>
  <c r="C713" i="3"/>
  <c r="C715" i="3"/>
  <c r="F748" i="3"/>
  <c r="F750" i="3"/>
  <c r="F754"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<sst xmlns="http://schemas.openxmlformats.org/spreadsheetml/2006/main" count="55" uniqueCount="44">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</sst>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B389-7F42-9079-15EABFE3CD4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numCache>
            </c:numRef>
          </c:cat>
          <c:val>
            <c:numRef>
              <c:f>'Conference Board'!$B$10:$B$773</c:f>
              <c:numCache>
                <c:formatCode>0.00</c:formatCode>
                <c:ptCount val="764"/>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numCache>
            </c:numRef>
          </c:val>
          <c:smooth val="0"/>
          <c:extLst>
            <c:ext xmlns:c16="http://schemas.microsoft.com/office/drawing/2014/chart" uri="{C3380CC4-5D6E-409C-BE32-E72D297353CC}">
              <c16:uniqueId val="{00000000-727F-D14E-A11B-90A365FC2191}"/>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numCache>
            </c:numRef>
          </c:val>
          <c:smooth val="0"/>
          <c:extLst>
            <c:ext xmlns:c16="http://schemas.microsoft.com/office/drawing/2014/chart" uri="{C3380CC4-5D6E-409C-BE32-E72D297353CC}">
              <c16:uniqueId val="{00000001-727F-D14E-A11B-90A365FC2191}"/>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UMCSI!$B$7:$B$278</c:f>
              <c:numCache>
                <c:formatCode>General</c:formatCode>
                <c:ptCount val="272"/>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89F4-B740-8B00-F63F4979E38B}"/>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UMCSI!$C$7:$C$278</c:f>
              <c:numCache>
                <c:formatCode>General</c:formatCode>
                <c:ptCount val="272"/>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1-89F4-B740-8B00-F63F4979E38B}"/>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UMCSI!$D$7:$D$278</c:f>
              <c:numCache>
                <c:formatCode>General</c:formatCode>
                <c:ptCount val="272"/>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2-89F4-B740-8B00-F63F4979E38B}"/>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UMCSI!$C$7:$C$279</c:f>
              <c:numCache>
                <c:formatCode>General</c:formatCode>
                <c:ptCount val="273"/>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0-6FD7-1F4C-B9A6-E5DCDB30923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0670-2D42-816A-32905782865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UMCSI!$D$7:$D$279</c:f>
              <c:numCache>
                <c:formatCode>General</c:formatCode>
                <c:ptCount val="273"/>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0-6282-8340-A40F-B59D9B471D6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GDP'!$C$7:$C$543</c:f>
              <c:numCache>
                <c:formatCode>0.00%</c:formatCode>
                <c:ptCount val="537"/>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0</c:v>
                </c:pt>
                <c:pt idx="535">
                  <c:v>0</c:v>
                </c:pt>
              </c:numCache>
            </c:numRef>
          </c:val>
          <c:extLst>
            <c:ext xmlns:c16="http://schemas.microsoft.com/office/drawing/2014/chart" uri="{C3380CC4-5D6E-409C-BE32-E72D297353CC}">
              <c16:uniqueId val="{00000000-1F01-B24A-B7E9-F434C1772992}"/>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GDP'!$B$7:$B$543</c:f>
              <c:numCache>
                <c:formatCode>0.0</c:formatCode>
                <c:ptCount val="537"/>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1F01-B24A-B7E9-F434C1772992}"/>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0</c:v>
                </c:pt>
                <c:pt idx="535">
                  <c:v>0</c:v>
                </c:pt>
              </c:numCache>
            </c:numRef>
          </c:val>
          <c:extLst>
            <c:ext xmlns:c16="http://schemas.microsoft.com/office/drawing/2014/chart" uri="{C3380CC4-5D6E-409C-BE32-E72D297353CC}">
              <c16:uniqueId val="{00000000-60FE-B743-954F-3047279DFA4A}"/>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60FE-B743-954F-3047279DFA4A}"/>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635000</xdr:colOff>
      <xdr:row>748</xdr:row>
      <xdr:rowOff>152400</xdr:rowOff>
    </xdr:from>
    <xdr:to>
      <xdr:col>19</xdr:col>
      <xdr:colOff>601134</xdr:colOff>
      <xdr:row>778</xdr:row>
      <xdr:rowOff>16934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336549</xdr:colOff>
      <xdr:row>490</xdr:row>
      <xdr:rowOff>141941</xdr:rowOff>
    </xdr:from>
    <xdr:to>
      <xdr:col>15</xdr:col>
      <xdr:colOff>328706</xdr:colOff>
      <xdr:row>514</xdr:row>
      <xdr:rowOff>149412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73403</xdr:rowOff>
    </xdr:from>
    <xdr:to>
      <xdr:col>15</xdr:col>
      <xdr:colOff>321236</xdr:colOff>
      <xdr:row>541</xdr:row>
      <xdr:rowOff>67235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3" totalsRowShown="0" headerRowDxfId="24" dataDxfId="23">
  <autoFilter ref="A9:F773"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8" totalsRowShown="0" headerRowDxfId="16" dataDxfId="14" headerRowBorderDxfId="15">
  <autoFilter ref="A6:D278"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2" totalsRowShown="0" headerRowDxfId="9" dataDxfId="7" headerRowBorderDxfId="8" tableBorderDxfId="6">
  <autoFilter ref="A6:D542"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0">
      <calculatedColumnFormula>IF(VLOOKUP(Table48[[#This Row],[Date]],'DB LEI'!$A:$M,13)=0,"",VLOOKUP(Table48[[#This Row],[Date]],'DB LEI'!$A:$M,13))</calculatedColumnFormula>
    </tableColumn>
    <tableColumn id="4" xr3:uid="{00000000-0010-0000-0200-000004000000}" name="GDP qoq %" dataDxfId="1">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L22" sqref="L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40" width="9.1640625" style="51" customWidth="1"/>
    <col min="41"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44713</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50</v>
      </c>
      <c r="O16" s="29">
        <f>VLOOKUP(DATE(YEAR($N$14),MONTH($N$14)-1,DAY($N$14)),UMCSI!$A:$D,2,)</f>
        <v>58.4</v>
      </c>
      <c r="P16" s="29">
        <f>N16-O16</f>
        <v>-8.3999999999999986</v>
      </c>
      <c r="Q16" s="29">
        <f>VLOOKUP(DATE(YEAR($N$14)-1,MONTH($N$14),DAY($N$14)),UMCSI!$A:$D,2,)</f>
        <v>85.5</v>
      </c>
      <c r="R16" s="30">
        <f>N16-Q16</f>
        <v>-35.5</v>
      </c>
    </row>
    <row r="17" spans="2:18" ht="19.5" customHeight="1" x14ac:dyDescent="0.2">
      <c r="B17" s="27" t="s">
        <v>17</v>
      </c>
      <c r="G17" s="65" t="s">
        <v>18</v>
      </c>
      <c r="H17" s="55"/>
      <c r="I17" s="55"/>
      <c r="M17" s="38" t="s">
        <v>19</v>
      </c>
      <c r="N17" s="31">
        <f>VLOOKUP(N14,UMCSI!A:D,3,)</f>
        <v>53.8</v>
      </c>
      <c r="O17" s="16">
        <f>VLOOKUP(DATE(YEAR($N$14),MONTH($N$14)-1,DAY($N$14)),UMCSI!$A:$D,3,)</f>
        <v>63.3</v>
      </c>
      <c r="P17" s="16">
        <f>N17-O17</f>
        <v>-9.5</v>
      </c>
      <c r="Q17" s="16">
        <f>VLOOKUP(DATE(YEAR($N$14)-1,MONTH($N$14),DAY($N$14)),UMCSI!$A:$D,3,)</f>
        <v>88.6</v>
      </c>
      <c r="R17" s="32">
        <f>N17-Q17</f>
        <v>-34.799999999999997</v>
      </c>
    </row>
    <row r="18" spans="2:18" ht="19.5" customHeight="1" thickBot="1" x14ac:dyDescent="0.25">
      <c r="B18" s="8"/>
      <c r="G18" s="65"/>
      <c r="H18" s="55"/>
      <c r="I18" s="55"/>
      <c r="M18" s="39" t="s">
        <v>20</v>
      </c>
      <c r="N18" s="36">
        <f>VLOOKUP(N14,UMCSI!A:D,4,)</f>
        <v>47.5</v>
      </c>
      <c r="O18" s="33">
        <f>VLOOKUP(DATE(YEAR($N$14),MONTH($N$14)-1,DAY($N$14)),UMCSI!$A:$D,4,)</f>
        <v>55.2</v>
      </c>
      <c r="P18" s="33">
        <f>N18-O18</f>
        <v>-7.7000000000000028</v>
      </c>
      <c r="Q18" s="33">
        <f>VLOOKUP(DATE(YEAR($N$14)-1,MONTH($N$14),DAY($N$14)),UMCSI!$A:$D,4,)</f>
        <v>83.5</v>
      </c>
      <c r="R18" s="34">
        <f>N18-Q18</f>
        <v>-36</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3" priority="3" operator="lessThan">
      <formula>0</formula>
    </cfRule>
    <cfRule type="cellIs" dxfId="2"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9"/>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x14ac:dyDescent="0.2"/>
  <cols>
    <col min="10" max="10" width="18.83203125" customWidth="1"/>
    <col min="12" max="12" width="16"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2">
      <c r="A752" s="53">
        <v>44593</v>
      </c>
      <c r="B752">
        <v>119.9</v>
      </c>
      <c r="C752">
        <v>4373.93994140625</v>
      </c>
      <c r="D752">
        <v>62.8</v>
      </c>
      <c r="E752">
        <v>68.2</v>
      </c>
      <c r="F752">
        <v>59.4</v>
      </c>
    </row>
    <row r="753" spans="1:13" x14ac:dyDescent="0.2">
      <c r="A753" s="53">
        <v>44621</v>
      </c>
      <c r="B753">
        <v>119.8</v>
      </c>
      <c r="C753">
        <v>4530.41015625</v>
      </c>
      <c r="D753">
        <v>59.4</v>
      </c>
      <c r="E753">
        <v>67.2</v>
      </c>
      <c r="F753">
        <v>54.3</v>
      </c>
    </row>
    <row r="754" spans="1:13" x14ac:dyDescent="0.2">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2">
      <c r="A755" s="53">
        <v>44682</v>
      </c>
      <c r="B755">
        <v>118.3</v>
      </c>
      <c r="C755">
        <v>4132.14990234375</v>
      </c>
      <c r="D755">
        <v>58.4</v>
      </c>
      <c r="E755">
        <v>63.3</v>
      </c>
      <c r="F755">
        <v>55.2</v>
      </c>
    </row>
    <row r="756" spans="1:13" x14ac:dyDescent="0.2">
      <c r="A756" s="53">
        <v>44713</v>
      </c>
      <c r="B756">
        <v>117.1</v>
      </c>
      <c r="C756">
        <v>3785.3798828125</v>
      </c>
      <c r="D756">
        <v>50</v>
      </c>
      <c r="E756">
        <v>53.8</v>
      </c>
      <c r="F756">
        <v>47.5</v>
      </c>
    </row>
    <row r="757" spans="1:13" x14ac:dyDescent="0.2">
      <c r="A757" s="53">
        <v>44743</v>
      </c>
      <c r="B757">
        <v>116.6</v>
      </c>
      <c r="C757">
        <v>4130.2900390625</v>
      </c>
      <c r="D757">
        <v>51.5</v>
      </c>
      <c r="E757">
        <v>58.1</v>
      </c>
      <c r="F757">
        <v>47.3</v>
      </c>
    </row>
    <row r="758" spans="1:13" x14ac:dyDescent="0.2">
      <c r="A758" s="53">
        <v>44774</v>
      </c>
      <c r="B758">
        <v>116.2</v>
      </c>
      <c r="C758">
        <v>3955</v>
      </c>
      <c r="D758">
        <v>58.2</v>
      </c>
      <c r="E758">
        <v>58.6</v>
      </c>
      <c r="F758">
        <v>58</v>
      </c>
    </row>
    <row r="759" spans="1:13" x14ac:dyDescent="0.2">
      <c r="A759" s="53">
        <v>44805</v>
      </c>
      <c r="C759">
        <v>3585.6201171875</v>
      </c>
      <c r="D759">
        <v>58.6</v>
      </c>
      <c r="E759">
        <v>59.7</v>
      </c>
      <c r="F759">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3"/>
  <sheetViews>
    <sheetView zoomScale="150" zoomScaleNormal="150" workbookViewId="0">
      <pane ySplit="9" topLeftCell="A752" activePane="bottomLeft" state="frozen"/>
      <selection activeCell="H751" sqref="H751"/>
      <selection pane="bottomLeft" activeCell="A775" sqref="A775"/>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31" width="9.1640625" style="51" customWidth="1"/>
    <col min="32"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Row],[UMSCI]]-E10)/E10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2">
      <c r="A23" s="6">
        <v>21947</v>
      </c>
      <c r="B23" s="2">
        <v>28.7</v>
      </c>
      <c r="C23" s="4">
        <f>(Table3[[#This Row],[Conference Board Leading Indicator]]-B11)/B11</f>
        <v>3.9855072463768036E-2</v>
      </c>
      <c r="E23" s="2">
        <v>56.119999</v>
      </c>
      <c r="F23" s="4">
        <f>(Table3[[#This Row],[UMSCI]]-E12)/E12</f>
        <v>1.2265512486751663E-2</v>
      </c>
    </row>
    <row r="24" spans="1:6" x14ac:dyDescent="0.2">
      <c r="A24" s="6">
        <v>21976</v>
      </c>
      <c r="B24" s="2">
        <v>28.6</v>
      </c>
      <c r="C24" s="4">
        <f>(Table3[[#This Row],[Conference Board Leading Indicator]]-B12)/B12</f>
        <v>2.1428571428571481E-2</v>
      </c>
      <c r="E24" s="2">
        <v>55.34</v>
      </c>
      <c r="F24" s="4">
        <f>(Table3[[#This Row],[UMSCI]]-E13)/E13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2">
      <c r="A26" s="6">
        <v>22037</v>
      </c>
      <c r="B26" s="2">
        <v>28.7</v>
      </c>
      <c r="C26" s="4">
        <f>(Table3[[#This Row],[Conference Board Leading Indicator]]-B14)/B14</f>
        <v>1.4134275618374508E-2</v>
      </c>
      <c r="E26" s="2">
        <v>55.830002</v>
      </c>
      <c r="F26" s="4">
        <f>(Table3[[#This Row],[UMSCI]]-E15)/E15</f>
        <v>-4.5151341796624958E-2</v>
      </c>
    </row>
    <row r="27" spans="1:6" x14ac:dyDescent="0.2">
      <c r="A27" s="6">
        <v>22068</v>
      </c>
      <c r="B27" s="2">
        <v>28.8</v>
      </c>
      <c r="C27" s="4">
        <f>(Table3[[#This Row],[Conference Board Leading Indicator]]-B15)/B15</f>
        <v>1.4084507042253596E-2</v>
      </c>
      <c r="E27" s="2">
        <v>56.919998</v>
      </c>
      <c r="F27" s="4">
        <f>(Table3[[#This Row],[UMSCI]]-E16)/E16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2">
      <c r="A29" s="6">
        <v>22129</v>
      </c>
      <c r="B29" s="2">
        <v>28.9</v>
      </c>
      <c r="C29" s="4">
        <f>(Table3[[#This Row],[Conference Board Leading Indicator]]-B17)/B17</f>
        <v>1.7605633802816902E-2</v>
      </c>
      <c r="E29" s="2">
        <v>56.959999000000003</v>
      </c>
      <c r="F29" s="4">
        <f>(Table3[[#This Row],[UMSCI]]-E18)/E18</f>
        <v>1.4064345744298308E-3</v>
      </c>
    </row>
    <row r="30" spans="1:6" x14ac:dyDescent="0.2">
      <c r="A30" s="6">
        <v>22160</v>
      </c>
      <c r="B30" s="2">
        <v>28.9</v>
      </c>
      <c r="C30" s="4">
        <f>(Table3[[#This Row],[Conference Board Leading Indicator]]-B18)/B18</f>
        <v>1.7605633802816902E-2</v>
      </c>
      <c r="E30" s="2">
        <v>53.52</v>
      </c>
      <c r="F30" s="4">
        <f>(Table3[[#This Row],[UMSCI]]-E19)/E19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2">
      <c r="A32" s="6">
        <v>22221</v>
      </c>
      <c r="B32" s="2">
        <v>28.9</v>
      </c>
      <c r="C32" s="4">
        <f>(Table3[[#This Row],[Conference Board Leading Indicator]]-B20)/B20</f>
        <v>2.8469750889679613E-2</v>
      </c>
      <c r="E32" s="2">
        <v>55.540000999999997</v>
      </c>
      <c r="F32" s="4">
        <f>(Table3[[#This Row],[UMSCI]]-E21)/E21</f>
        <v>-7.2633128613009426E-2</v>
      </c>
    </row>
    <row r="33" spans="1:6" x14ac:dyDescent="0.2">
      <c r="A33" s="6">
        <v>22251</v>
      </c>
      <c r="B33" s="2">
        <v>28.9</v>
      </c>
      <c r="C33" s="4">
        <f>(Table3[[#This Row],[Conference Board Leading Indicator]]-B21)/B21</f>
        <v>6.9686411149825541E-3</v>
      </c>
      <c r="E33" s="2">
        <v>58.110000999999997</v>
      </c>
      <c r="F33" s="4">
        <f>(Table3[[#This Row],[UMSCI]]-E22)/E22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2">
      <c r="A35" s="6">
        <v>22313</v>
      </c>
      <c r="B35" s="2">
        <v>29.2</v>
      </c>
      <c r="C35" s="4">
        <f>(Table3[[#This Row],[Conference Board Leading Indicator]]-B23)/B23</f>
        <v>1.7421602787456445E-2</v>
      </c>
      <c r="E35" s="2">
        <v>63.439999</v>
      </c>
      <c r="F35" s="4">
        <f>(Table3[[#This Row],[UMSCI]]-E24)/E24</f>
        <v>0.14636788941091428</v>
      </c>
    </row>
    <row r="36" spans="1:6" x14ac:dyDescent="0.2">
      <c r="A36" s="6">
        <v>22341</v>
      </c>
      <c r="B36" s="2">
        <v>29.6</v>
      </c>
      <c r="C36" s="4">
        <f>(Table3[[#This Row],[Conference Board Leading Indicator]]-B24)/B24</f>
        <v>3.4965034965034961E-2</v>
      </c>
      <c r="E36" s="2">
        <v>65.059997999999993</v>
      </c>
      <c r="F36" s="4">
        <f>(Table3[[#This Row],[UMSCI]]-E25)/E25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2">
      <c r="A38" s="6">
        <v>22402</v>
      </c>
      <c r="B38" s="2">
        <v>30.2</v>
      </c>
      <c r="C38" s="4">
        <f>(Table3[[#This Row],[Conference Board Leading Indicator]]-B26)/B26</f>
        <v>5.2264808362369339E-2</v>
      </c>
      <c r="E38" s="2">
        <v>66.559997999999993</v>
      </c>
      <c r="F38" s="4">
        <f>(Table3[[#This Row],[UMSCI]]-E27)/E27</f>
        <v>0.16936051192412188</v>
      </c>
    </row>
    <row r="39" spans="1:6" x14ac:dyDescent="0.2">
      <c r="A39" s="6">
        <v>22433</v>
      </c>
      <c r="B39" s="2">
        <v>30.6</v>
      </c>
      <c r="C39" s="4">
        <f>(Table3[[#This Row],[Conference Board Leading Indicator]]-B27)/B27</f>
        <v>6.2500000000000028E-2</v>
      </c>
      <c r="E39" s="2">
        <v>64.639999000000003</v>
      </c>
      <c r="F39" s="4">
        <f>(Table3[[#This Row],[UMSCI]]-E28)/E28</f>
        <v>0.16447489333362972</v>
      </c>
    </row>
    <row r="40" spans="1:6" x14ac:dyDescent="0.2">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2">
      <c r="A41" s="6">
        <v>22494</v>
      </c>
      <c r="B41" s="2">
        <v>31.2</v>
      </c>
      <c r="C41" s="4">
        <f>(Table3[[#This Row],[Conference Board Leading Indicator]]-B29)/B29</f>
        <v>7.9584775086505216E-2</v>
      </c>
      <c r="E41" s="2">
        <v>68.069999999999993</v>
      </c>
      <c r="F41" s="4">
        <f>(Table3[[#This Row],[UMSCI]]-E30)/E30</f>
        <v>0.27186098654708502</v>
      </c>
    </row>
    <row r="42" spans="1:6" x14ac:dyDescent="0.2">
      <c r="A42" s="6">
        <v>22525</v>
      </c>
      <c r="B42" s="2">
        <v>31.2</v>
      </c>
      <c r="C42" s="4">
        <f>(Table3[[#This Row],[Conference Board Leading Indicator]]-B30)/B30</f>
        <v>7.9584775086505216E-2</v>
      </c>
      <c r="E42" s="2">
        <v>66.730002999999996</v>
      </c>
      <c r="F42" s="4">
        <f>(Table3[[#This Row],[UMSCI]]-E31)/E31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2">
      <c r="A44" s="6">
        <v>22586</v>
      </c>
      <c r="B44" s="2">
        <v>32.1</v>
      </c>
      <c r="C44" s="4">
        <f>(Table3[[#This Row],[Conference Board Leading Indicator]]-B32)/B32</f>
        <v>0.11072664359861602</v>
      </c>
      <c r="E44" s="2">
        <v>71.319999999999993</v>
      </c>
      <c r="F44" s="4">
        <f>(Table3[[#This Row],[UMSCI]]-E33)/E33</f>
        <v>0.22732746124027767</v>
      </c>
    </row>
    <row r="45" spans="1:6" x14ac:dyDescent="0.2">
      <c r="A45" s="6">
        <v>22616</v>
      </c>
      <c r="B45" s="2">
        <v>32.4</v>
      </c>
      <c r="C45" s="4">
        <f>(Table3[[#This Row],[Conference Board Leading Indicator]]-B33)/B33</f>
        <v>0.12110726643598617</v>
      </c>
      <c r="E45" s="2">
        <v>71.550003000000004</v>
      </c>
      <c r="F45" s="4">
        <f>(Table3[[#This Row],[UMSCI]]-E34)/E34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2">
      <c r="A47" s="6">
        <v>22678</v>
      </c>
      <c r="B47" s="2">
        <v>32.799999999999997</v>
      </c>
      <c r="C47" s="4">
        <f>(Table3[[#This Row],[Conference Board Leading Indicator]]-B35)/B35</f>
        <v>0.12328767123287664</v>
      </c>
      <c r="E47" s="2">
        <v>69.959998999999996</v>
      </c>
      <c r="F47" s="4">
        <f>(Table3[[#This Row],[UMSCI]]-E36)/E36</f>
        <v>7.5315111445284758E-2</v>
      </c>
    </row>
    <row r="48" spans="1:6" x14ac:dyDescent="0.2">
      <c r="A48" s="6">
        <v>22706</v>
      </c>
      <c r="B48" s="2">
        <v>32.9</v>
      </c>
      <c r="C48" s="4">
        <f>(Table3[[#This Row],[Conference Board Leading Indicator]]-B36)/B36</f>
        <v>0.11148648648648639</v>
      </c>
      <c r="E48" s="2">
        <v>69.550003000000004</v>
      </c>
      <c r="F48" s="4">
        <f>(Table3[[#This Row],[UMSCI]]-E37)/E37</f>
        <v>6.492122385304637E-2</v>
      </c>
    </row>
    <row r="49" spans="1:6" x14ac:dyDescent="0.2">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2">
      <c r="A50" s="6">
        <v>22767</v>
      </c>
      <c r="B50" s="2">
        <v>33.1</v>
      </c>
      <c r="C50" s="4">
        <f>(Table3[[#This Row],[Conference Board Leading Indicator]]-B38)/B38</f>
        <v>9.602649006622524E-2</v>
      </c>
      <c r="E50" s="2">
        <v>59.630001</v>
      </c>
      <c r="F50" s="4">
        <f>(Table3[[#This Row],[UMSCI]]-E39)/E39</f>
        <v>-7.7506158377261158E-2</v>
      </c>
    </row>
    <row r="51" spans="1:6" x14ac:dyDescent="0.2">
      <c r="A51" s="6">
        <v>22798</v>
      </c>
      <c r="B51" s="2">
        <v>33</v>
      </c>
      <c r="C51" s="4">
        <f>(Table3[[#This Row],[Conference Board Leading Indicator]]-B39)/B39</f>
        <v>7.8431372549019551E-2</v>
      </c>
      <c r="E51" s="2">
        <v>54.75</v>
      </c>
      <c r="F51" s="4">
        <f>(Table3[[#This Row],[UMSCI]]-E40)/E40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2">
      <c r="A53" s="6">
        <v>22859</v>
      </c>
      <c r="B53" s="2">
        <v>33.4</v>
      </c>
      <c r="C53" s="4">
        <f>(Table3[[#This Row],[Conference Board Leading Indicator]]-B41)/B41</f>
        <v>7.0512820512820498E-2</v>
      </c>
      <c r="E53" s="2">
        <v>59.119999</v>
      </c>
      <c r="F53" s="4">
        <f>(Table3[[#This Row],[UMSCI]]-E42)/E42</f>
        <v>-0.11404171523864605</v>
      </c>
    </row>
    <row r="54" spans="1:6" x14ac:dyDescent="0.2">
      <c r="A54" s="6">
        <v>22890</v>
      </c>
      <c r="B54" s="2">
        <v>33.5</v>
      </c>
      <c r="C54" s="4">
        <f>(Table3[[#This Row],[Conference Board Leading Indicator]]-B42)/B42</f>
        <v>7.3717948717948747E-2</v>
      </c>
      <c r="E54" s="2">
        <v>56.27</v>
      </c>
      <c r="F54" s="4">
        <f>(Table3[[#This Row],[UMSCI]]-E43)/E43</f>
        <v>-0.17997671903336981</v>
      </c>
    </row>
    <row r="55" spans="1:6" x14ac:dyDescent="0.2">
      <c r="A55" s="6">
        <v>22920</v>
      </c>
      <c r="B55" s="2">
        <v>33.6</v>
      </c>
      <c r="C55" s="4">
        <f>(Table3[[#This Row],[Conference Board Leading Indicator]]-B43)/B43</f>
        <v>5.9936908517350229E-2</v>
      </c>
      <c r="D55" s="3">
        <v>4.3070083324584993E-2</v>
      </c>
      <c r="E55" s="2">
        <v>56.52</v>
      </c>
      <c r="F55" s="4">
        <f>(Table3[[#This Row],[UMSCI]]-E44)/E44</f>
        <v>-0.20751542344363422</v>
      </c>
    </row>
    <row r="56" spans="1:6" x14ac:dyDescent="0.2">
      <c r="A56" s="6">
        <v>22951</v>
      </c>
      <c r="B56" s="2">
        <v>34</v>
      </c>
      <c r="C56" s="4">
        <f>(Table3[[#This Row],[Conference Board Leading Indicator]]-B44)/B44</f>
        <v>5.9190031152647926E-2</v>
      </c>
      <c r="E56" s="2">
        <v>62.259998000000003</v>
      </c>
      <c r="F56" s="4">
        <f>(Table3[[#This Row],[UMSCI]]-E45)/E45</f>
        <v>-0.12983933767270422</v>
      </c>
    </row>
    <row r="57" spans="1:6" x14ac:dyDescent="0.2">
      <c r="A57" s="6">
        <v>22981</v>
      </c>
      <c r="B57" s="2">
        <v>34.1</v>
      </c>
      <c r="C57" s="4">
        <f>(Table3[[#This Row],[Conference Board Leading Indicator]]-B45)/B45</f>
        <v>5.2469135802469223E-2</v>
      </c>
      <c r="E57" s="2">
        <v>63.099997999999999</v>
      </c>
      <c r="F57" s="4">
        <f>(Table3[[#This Row],[UMSCI]]-E46)/E46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2">
      <c r="A59" s="6">
        <v>23043</v>
      </c>
      <c r="B59" s="2">
        <v>34.700000000000003</v>
      </c>
      <c r="C59" s="4">
        <f>(Table3[[#This Row],[Conference Board Leading Indicator]]-B47)/B47</f>
        <v>5.7926829268292859E-2</v>
      </c>
      <c r="E59" s="2">
        <v>64.290001000000004</v>
      </c>
      <c r="F59" s="4">
        <f>(Table3[[#This Row],[UMSCI]]-E48)/E48</f>
        <v>-7.5629069347416131E-2</v>
      </c>
    </row>
    <row r="60" spans="1:6" x14ac:dyDescent="0.2">
      <c r="A60" s="6">
        <v>23071</v>
      </c>
      <c r="B60" s="2">
        <v>35</v>
      </c>
      <c r="C60" s="4">
        <f>(Table3[[#This Row],[Conference Board Leading Indicator]]-B48)/B48</f>
        <v>6.3829787234042604E-2</v>
      </c>
      <c r="E60" s="2">
        <v>66.569999999999993</v>
      </c>
      <c r="F60" s="4">
        <f>(Table3[[#This Row],[UMSCI]]-E49)/E49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2">
      <c r="A62" s="6">
        <v>23132</v>
      </c>
      <c r="B62" s="2">
        <v>35.6</v>
      </c>
      <c r="C62" s="4">
        <f>(Table3[[#This Row],[Conference Board Leading Indicator]]-B50)/B50</f>
        <v>7.5528700906344406E-2</v>
      </c>
      <c r="E62" s="2">
        <v>70.800003000000004</v>
      </c>
      <c r="F62" s="4">
        <f>(Table3[[#This Row],[UMSCI]]-E51)/E51</f>
        <v>0.29315073972602745</v>
      </c>
    </row>
    <row r="63" spans="1:6" x14ac:dyDescent="0.2">
      <c r="A63" s="6">
        <v>23163</v>
      </c>
      <c r="B63" s="2">
        <v>35.700000000000003</v>
      </c>
      <c r="C63" s="4">
        <f>(Table3[[#This Row],[Conference Board Leading Indicator]]-B51)/B51</f>
        <v>8.1818181818181901E-2</v>
      </c>
      <c r="E63" s="2">
        <v>69.370002999999997</v>
      </c>
      <c r="F63" s="4">
        <f>(Table3[[#This Row],[UMSCI]]-E52)/E52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2">
      <c r="A65" s="6">
        <v>23224</v>
      </c>
      <c r="B65" s="2">
        <v>36</v>
      </c>
      <c r="C65" s="4">
        <f>(Table3[[#This Row],[Conference Board Leading Indicator]]-B53)/B53</f>
        <v>7.7844311377245554E-2</v>
      </c>
      <c r="E65" s="2">
        <v>72.5</v>
      </c>
      <c r="F65" s="4">
        <f>(Table3[[#This Row],[UMSCI]]-E54)/E54</f>
        <v>0.28843078016705165</v>
      </c>
    </row>
    <row r="66" spans="1:6" x14ac:dyDescent="0.2">
      <c r="A66" s="6">
        <v>23255</v>
      </c>
      <c r="B66" s="2">
        <v>36.4</v>
      </c>
      <c r="C66" s="4">
        <f>(Table3[[#This Row],[Conference Board Leading Indicator]]-B54)/B54</f>
        <v>8.6567164179104442E-2</v>
      </c>
      <c r="E66" s="2">
        <v>71.699996999999996</v>
      </c>
      <c r="F66" s="4">
        <f>(Table3[[#This Row],[UMSCI]]-E55)/E55</f>
        <v>0.26857744161358799</v>
      </c>
    </row>
    <row r="67" spans="1:6" x14ac:dyDescent="0.2">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2">
      <c r="A68" s="6">
        <v>23316</v>
      </c>
      <c r="B68" s="2">
        <v>36.799999999999997</v>
      </c>
      <c r="C68" s="4">
        <f>(Table3[[#This Row],[Conference Board Leading Indicator]]-B56)/B56</f>
        <v>8.2352941176470504E-2</v>
      </c>
      <c r="E68" s="2">
        <v>73.230002999999996</v>
      </c>
      <c r="F68" s="4">
        <f>(Table3[[#This Row],[UMSCI]]-E57)/E57</f>
        <v>0.16053891158601935</v>
      </c>
    </row>
    <row r="69" spans="1:6" x14ac:dyDescent="0.2">
      <c r="A69" s="6">
        <v>23346</v>
      </c>
      <c r="B69" s="2">
        <v>37</v>
      </c>
      <c r="C69" s="4">
        <f>(Table3[[#This Row],[Conference Board Leading Indicator]]-B57)/B57</f>
        <v>8.5043988269794674E-2</v>
      </c>
      <c r="E69" s="2">
        <v>75.019997000000004</v>
      </c>
      <c r="F69" s="4">
        <f>(Table3[[#This Row],[UMSCI]]-E58)/E58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2">
      <c r="A71" s="6">
        <v>23408</v>
      </c>
      <c r="B71" s="2">
        <v>37.5</v>
      </c>
      <c r="C71" s="4">
        <f>(Table3[[#This Row],[Conference Board Leading Indicator]]-B59)/B59</f>
        <v>8.0691642651296747E-2</v>
      </c>
      <c r="E71" s="2">
        <v>77.800003000000004</v>
      </c>
      <c r="F71" s="4">
        <f>(Table3[[#This Row],[UMSCI]]-E60)/E60</f>
        <v>0.16869465224575653</v>
      </c>
    </row>
    <row r="72" spans="1:6" x14ac:dyDescent="0.2">
      <c r="A72" s="6">
        <v>23437</v>
      </c>
      <c r="B72" s="2">
        <v>37.700000000000003</v>
      </c>
      <c r="C72" s="4">
        <f>(Table3[[#This Row],[Conference Board Leading Indicator]]-B60)/B60</f>
        <v>7.7142857142857221E-2</v>
      </c>
      <c r="E72" s="2">
        <v>78.980002999999996</v>
      </c>
      <c r="F72" s="4">
        <f>(Table3[[#This Row],[UMSCI]]-E61)/E61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2">
      <c r="A74" s="6">
        <v>23498</v>
      </c>
      <c r="B74" s="2">
        <v>38.299999999999997</v>
      </c>
      <c r="C74" s="4">
        <f>(Table3[[#This Row],[Conference Board Leading Indicator]]-B62)/B62</f>
        <v>7.5842696629213363E-2</v>
      </c>
      <c r="E74" s="2">
        <v>80.370002999999997</v>
      </c>
      <c r="F74" s="4">
        <f>(Table3[[#This Row],[UMSCI]]-E63)/E63</f>
        <v>0.1585699801685175</v>
      </c>
    </row>
    <row r="75" spans="1:6" x14ac:dyDescent="0.2">
      <c r="A75" s="6">
        <v>23529</v>
      </c>
      <c r="B75" s="2">
        <v>38.5</v>
      </c>
      <c r="C75" s="4">
        <f>(Table3[[#This Row],[Conference Board Leading Indicator]]-B63)/B63</f>
        <v>7.8431372549019523E-2</v>
      </c>
      <c r="E75" s="2">
        <v>81.690002000000007</v>
      </c>
      <c r="F75" s="4">
        <f>(Table3[[#This Row],[UMSCI]]-E64)/E64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2">
      <c r="A77" s="6">
        <v>23590</v>
      </c>
      <c r="B77" s="2">
        <v>39.1</v>
      </c>
      <c r="C77" s="4">
        <f>(Table3[[#This Row],[Conference Board Leading Indicator]]-B65)/B65</f>
        <v>8.6111111111111152E-2</v>
      </c>
      <c r="E77" s="2">
        <v>81.830001999999993</v>
      </c>
      <c r="F77" s="4">
        <f>(Table3[[#This Row],[UMSCI]]-E66)/E66</f>
        <v>0.14128319977475032</v>
      </c>
    </row>
    <row r="78" spans="1:6" x14ac:dyDescent="0.2">
      <c r="A78" s="6">
        <v>23621</v>
      </c>
      <c r="B78" s="2">
        <v>39.4</v>
      </c>
      <c r="C78" s="4">
        <f>(Table3[[#This Row],[Conference Board Leading Indicator]]-B66)/B66</f>
        <v>8.2417582417582416E-2</v>
      </c>
      <c r="E78" s="2">
        <v>84.18</v>
      </c>
      <c r="F78" s="4">
        <f>(Table3[[#This Row],[UMSCI]]-E67)/E67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2">
      <c r="A80" s="6">
        <v>23682</v>
      </c>
      <c r="B80" s="2">
        <v>39.799999999999997</v>
      </c>
      <c r="C80" s="4">
        <f>(Table3[[#This Row],[Conference Board Leading Indicator]]-B68)/B68</f>
        <v>8.1521739130434784E-2</v>
      </c>
      <c r="E80" s="2">
        <v>84.419998000000007</v>
      </c>
      <c r="F80" s="4">
        <f>(Table3[[#This Row],[UMSCI]]-E69)/E69</f>
        <v>0.12529993836176775</v>
      </c>
    </row>
    <row r="81" spans="1:6" x14ac:dyDescent="0.2">
      <c r="A81" s="6">
        <v>23712</v>
      </c>
      <c r="B81" s="2">
        <v>40.1</v>
      </c>
      <c r="C81" s="4">
        <f>(Table3[[#This Row],[Conference Board Leading Indicator]]-B69)/B69</f>
        <v>8.3783783783783816E-2</v>
      </c>
      <c r="E81" s="2">
        <v>84.75</v>
      </c>
      <c r="F81" s="4">
        <f>(Table3[[#This Row],[UMSCI]]-E70)/E70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2">
      <c r="A83" s="6">
        <v>23774</v>
      </c>
      <c r="B83" s="2">
        <v>40.6</v>
      </c>
      <c r="C83" s="4">
        <f>(Table3[[#This Row],[Conference Board Leading Indicator]]-B71)/B71</f>
        <v>8.2666666666666708E-2</v>
      </c>
      <c r="E83" s="2">
        <v>87.43</v>
      </c>
      <c r="F83" s="4">
        <f>(Table3[[#This Row],[UMSCI]]-E72)/E72</f>
        <v>0.10698906911917959</v>
      </c>
    </row>
    <row r="84" spans="1:6" x14ac:dyDescent="0.2">
      <c r="A84" s="6">
        <v>23802</v>
      </c>
      <c r="B84" s="2">
        <v>41.1</v>
      </c>
      <c r="C84" s="4">
        <f>(Table3[[#This Row],[Conference Board Leading Indicator]]-B72)/B72</f>
        <v>9.0185676392572897E-2</v>
      </c>
      <c r="E84" s="2">
        <v>86.160004000000001</v>
      </c>
      <c r="F84" s="4">
        <f>(Table3[[#This Row],[UMSCI]]-E73)/E73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2">
      <c r="A86" s="6">
        <v>23863</v>
      </c>
      <c r="B86" s="2">
        <v>41.4</v>
      </c>
      <c r="C86" s="4">
        <f>(Table3[[#This Row],[Conference Board Leading Indicator]]-B74)/B74</f>
        <v>8.0939947780678895E-2</v>
      </c>
      <c r="E86" s="2">
        <v>88.419998000000007</v>
      </c>
      <c r="F86" s="4">
        <f>(Table3[[#This Row],[UMSCI]]-E75)/E75</f>
        <v>8.2384573818470461E-2</v>
      </c>
    </row>
    <row r="87" spans="1:6" x14ac:dyDescent="0.2">
      <c r="A87" s="6">
        <v>23894</v>
      </c>
      <c r="B87" s="2">
        <v>41.6</v>
      </c>
      <c r="C87" s="4">
        <f>(Table3[[#This Row],[Conference Board Leading Indicator]]-B75)/B75</f>
        <v>8.051948051948056E-2</v>
      </c>
      <c r="E87" s="2">
        <v>84.120002999999997</v>
      </c>
      <c r="F87" s="4">
        <f>(Table3[[#This Row],[UMSCI]]-E76)/E76</f>
        <v>1.1300829526328325E-2</v>
      </c>
    </row>
    <row r="88" spans="1:6" x14ac:dyDescent="0.2">
      <c r="A88" s="6">
        <v>23924</v>
      </c>
      <c r="B88" s="2">
        <v>41.8</v>
      </c>
      <c r="C88" s="4">
        <f>(Table3[[#This Row],[Conference Board Leading Indicator]]-B76)/B76</f>
        <v>7.7319587628865982E-2</v>
      </c>
      <c r="D88" s="3">
        <v>6.3469226156710967E-2</v>
      </c>
      <c r="E88" s="2">
        <v>85.25</v>
      </c>
      <c r="F88" s="4">
        <f>(Table3[[#This Row],[UMSCI]]-E77)/E77</f>
        <v>4.179393763182368E-2</v>
      </c>
    </row>
    <row r="89" spans="1:6" x14ac:dyDescent="0.2">
      <c r="A89" s="6">
        <v>23955</v>
      </c>
      <c r="B89" s="2">
        <v>41.9</v>
      </c>
      <c r="C89" s="4">
        <f>(Table3[[#This Row],[Conference Board Leading Indicator]]-B77)/B77</f>
        <v>7.1611253196930874E-2</v>
      </c>
      <c r="E89" s="2">
        <v>87.169998000000007</v>
      </c>
      <c r="F89" s="4">
        <f>(Table3[[#This Row],[UMSCI]]-E78)/E78</f>
        <v>3.5519101924447606E-2</v>
      </c>
    </row>
    <row r="90" spans="1:6" x14ac:dyDescent="0.2">
      <c r="A90" s="6">
        <v>23986</v>
      </c>
      <c r="B90" s="2">
        <v>42.3</v>
      </c>
      <c r="C90" s="4">
        <f>(Table3[[#This Row],[Conference Board Leading Indicator]]-B78)/B78</f>
        <v>7.3604060913705555E-2</v>
      </c>
      <c r="E90" s="2">
        <v>89.959998999999996</v>
      </c>
      <c r="F90" s="4">
        <f>(Table3[[#This Row],[UMSCI]]-E79)/E79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2">
      <c r="A92" s="6">
        <v>24047</v>
      </c>
      <c r="B92" s="2">
        <v>43.1</v>
      </c>
      <c r="C92" s="4">
        <f>(Table3[[#This Row],[Conference Board Leading Indicator]]-B80)/B80</f>
        <v>8.2914572864321717E-2</v>
      </c>
      <c r="E92" s="2">
        <v>91.610000999999997</v>
      </c>
      <c r="F92" s="4">
        <f>(Table3[[#This Row],[UMSCI]]-E81)/E81</f>
        <v>8.0943964601769877E-2</v>
      </c>
    </row>
    <row r="93" spans="1:6" x14ac:dyDescent="0.2">
      <c r="A93" s="6">
        <v>24077</v>
      </c>
      <c r="B93" s="2">
        <v>43.5</v>
      </c>
      <c r="C93" s="4">
        <f>(Table3[[#This Row],[Conference Board Leading Indicator]]-B81)/B81</f>
        <v>8.4788029925186997E-2</v>
      </c>
      <c r="E93" s="2">
        <v>92.43</v>
      </c>
      <c r="F93" s="4">
        <f>(Table3[[#This Row],[UMSCI]]-E82)/E82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2">
      <c r="A95" s="6">
        <v>24139</v>
      </c>
      <c r="B95" s="2">
        <v>43.9</v>
      </c>
      <c r="C95" s="4">
        <f>(Table3[[#This Row],[Conference Board Leading Indicator]]-B83)/B83</f>
        <v>8.128078817733983E-2</v>
      </c>
      <c r="E95" s="2">
        <v>91.220000999999996</v>
      </c>
      <c r="F95" s="4">
        <f>(Table3[[#This Row],[UMSCI]]-E84)/E84</f>
        <v>5.8727910458314228E-2</v>
      </c>
    </row>
    <row r="96" spans="1:6" x14ac:dyDescent="0.2">
      <c r="A96" s="6">
        <v>24167</v>
      </c>
      <c r="B96" s="2">
        <v>44.3</v>
      </c>
      <c r="C96" s="4">
        <f>(Table3[[#This Row],[Conference Board Leading Indicator]]-B84)/B84</f>
        <v>7.7858880778588699E-2</v>
      </c>
      <c r="E96" s="2">
        <v>89.230002999999996</v>
      </c>
      <c r="F96" s="4">
        <f>(Table3[[#This Row],[UMSCI]]-E85)/E85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2">
      <c r="A98" s="6">
        <v>24228</v>
      </c>
      <c r="B98" s="2">
        <v>44.3</v>
      </c>
      <c r="C98" s="4">
        <f>(Table3[[#This Row],[Conference Board Leading Indicator]]-B86)/B86</f>
        <v>7.0048309178743925E-2</v>
      </c>
      <c r="E98" s="2">
        <v>86.129997000000003</v>
      </c>
      <c r="F98" s="4">
        <f>(Table3[[#This Row],[UMSCI]]-E87)/E87</f>
        <v>2.3894364340429304E-2</v>
      </c>
    </row>
    <row r="99" spans="1:6" x14ac:dyDescent="0.2">
      <c r="A99" s="6">
        <v>24259</v>
      </c>
      <c r="B99" s="2">
        <v>44.2</v>
      </c>
      <c r="C99" s="4">
        <f>(Table3[[#This Row],[Conference Board Leading Indicator]]-B87)/B87</f>
        <v>6.2500000000000028E-2</v>
      </c>
      <c r="E99" s="2">
        <v>84.739998</v>
      </c>
      <c r="F99" s="4">
        <f>(Table3[[#This Row],[UMSCI]]-E88)/E88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2">
      <c r="A101" s="6">
        <v>24320</v>
      </c>
      <c r="B101" s="2">
        <v>44</v>
      </c>
      <c r="C101" s="4">
        <f>(Table3[[#This Row],[Conference Board Leading Indicator]]-B89)/B89</f>
        <v>5.0119331742243471E-2</v>
      </c>
      <c r="E101" s="2">
        <v>77.099997999999999</v>
      </c>
      <c r="F101" s="4">
        <f>(Table3[[#This Row],[UMSCI]]-E90)/E90</f>
        <v>-0.1429524360043623</v>
      </c>
    </row>
    <row r="102" spans="1:6" x14ac:dyDescent="0.2">
      <c r="A102" s="6">
        <v>24351</v>
      </c>
      <c r="B102" s="2">
        <v>43.9</v>
      </c>
      <c r="C102" s="4">
        <f>(Table3[[#This Row],[Conference Board Leading Indicator]]-B90)/B90</f>
        <v>3.782505910165488E-2</v>
      </c>
      <c r="E102" s="2">
        <v>76.559997999999993</v>
      </c>
      <c r="F102" s="4">
        <f>(Table3[[#This Row],[UMSCI]]-E91)/E91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2">
      <c r="A104" s="6">
        <v>24412</v>
      </c>
      <c r="B104" s="2">
        <v>43.8</v>
      </c>
      <c r="C104" s="4">
        <f>(Table3[[#This Row],[Conference Board Leading Indicator]]-B92)/B92</f>
        <v>1.6241299303944218E-2</v>
      </c>
      <c r="E104" s="2">
        <v>80.449996999999996</v>
      </c>
      <c r="F104" s="4">
        <f>(Table3[[#This Row],[UMSCI]]-E93)/E93</f>
        <v>-0.12961163042302293</v>
      </c>
    </row>
    <row r="105" spans="1:6" x14ac:dyDescent="0.2">
      <c r="A105" s="6">
        <v>24442</v>
      </c>
      <c r="B105" s="2">
        <v>43.7</v>
      </c>
      <c r="C105" s="4">
        <f>(Table3[[#This Row],[Conference Board Leading Indicator]]-B93)/B93</f>
        <v>4.5977011494253523E-3</v>
      </c>
      <c r="E105" s="2">
        <v>80.330001999999993</v>
      </c>
      <c r="F105" s="4">
        <f>(Table3[[#This Row],[UMSCI]]-E94)/E94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2">
      <c r="A107" s="6">
        <v>24504</v>
      </c>
      <c r="B107" s="2">
        <v>43.7</v>
      </c>
      <c r="C107" s="4">
        <f>(Table3[[#This Row],[Conference Board Leading Indicator]]-B95)/B95</f>
        <v>-4.5558086560363491E-3</v>
      </c>
      <c r="E107" s="2">
        <v>86.779999000000004</v>
      </c>
      <c r="F107" s="4">
        <f>(Table3[[#This Row],[UMSCI]]-E96)/E96</f>
        <v>-2.74571771559841E-2</v>
      </c>
    </row>
    <row r="108" spans="1:6" x14ac:dyDescent="0.2">
      <c r="A108" s="6">
        <v>24532</v>
      </c>
      <c r="B108" s="2">
        <v>44</v>
      </c>
      <c r="C108" s="4">
        <f>(Table3[[#This Row],[Conference Board Leading Indicator]]-B96)/B96</f>
        <v>-6.772009029345309E-3</v>
      </c>
      <c r="E108" s="2">
        <v>90.199996999999996</v>
      </c>
      <c r="F108" s="4">
        <f>(Table3[[#This Row],[UMSCI]]-E97)/E97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2">
      <c r="A110" s="6">
        <v>24593</v>
      </c>
      <c r="B110" s="2">
        <v>44.5</v>
      </c>
      <c r="C110" s="4">
        <f>(Table3[[#This Row],[Conference Board Leading Indicator]]-B98)/B98</f>
        <v>4.514672686230313E-3</v>
      </c>
      <c r="E110" s="2">
        <v>89.080001999999993</v>
      </c>
      <c r="F110" s="4">
        <f>(Table3[[#This Row],[UMSCI]]-E99)/E99</f>
        <v>5.1215531064798862E-2</v>
      </c>
    </row>
    <row r="111" spans="1:6" x14ac:dyDescent="0.2">
      <c r="A111" s="6">
        <v>24624</v>
      </c>
      <c r="B111" s="2">
        <v>44.8</v>
      </c>
      <c r="C111" s="4">
        <f>(Table3[[#This Row],[Conference Board Leading Indicator]]-B99)/B99</f>
        <v>1.3574660633484033E-2</v>
      </c>
      <c r="E111" s="2">
        <v>90.639999000000003</v>
      </c>
      <c r="F111" s="4">
        <f>(Table3[[#This Row],[UMSCI]]-E100)/E100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2">
      <c r="A113" s="6">
        <v>24685</v>
      </c>
      <c r="B113" s="2">
        <v>45.5</v>
      </c>
      <c r="C113" s="4">
        <f>(Table3[[#This Row],[Conference Board Leading Indicator]]-B101)/B101</f>
        <v>3.4090909090909088E-2</v>
      </c>
      <c r="E113" s="2">
        <v>93.639999000000003</v>
      </c>
      <c r="F113" s="4">
        <f>(Table3[[#This Row],[UMSCI]]-E102)/E102</f>
        <v>0.22309301784464533</v>
      </c>
    </row>
    <row r="114" spans="1:6" x14ac:dyDescent="0.2">
      <c r="A114" s="6">
        <v>24716</v>
      </c>
      <c r="B114" s="2">
        <v>45.7</v>
      </c>
      <c r="C114" s="4">
        <f>(Table3[[#This Row],[Conference Board Leading Indicator]]-B102)/B102</f>
        <v>4.1002277904328116E-2</v>
      </c>
      <c r="E114" s="2">
        <v>96.709998999999996</v>
      </c>
      <c r="F114" s="4">
        <f>(Table3[[#This Row],[UMSCI]]-E103)/E103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2">
      <c r="A116" s="6">
        <v>24777</v>
      </c>
      <c r="B116" s="2">
        <v>46.1</v>
      </c>
      <c r="C116" s="4">
        <f>(Table3[[#This Row],[Conference Board Leading Indicator]]-B104)/B104</f>
        <v>5.2511415525114256E-2</v>
      </c>
      <c r="E116" s="2">
        <v>94</v>
      </c>
      <c r="F116" s="4">
        <f>(Table3[[#This Row],[UMSCI]]-E105)/E105</f>
        <v>0.1701730070914228</v>
      </c>
    </row>
    <row r="117" spans="1:6" x14ac:dyDescent="0.2">
      <c r="A117" s="6">
        <v>24807</v>
      </c>
      <c r="B117" s="2">
        <v>46.5</v>
      </c>
      <c r="C117" s="4">
        <f>(Table3[[#This Row],[Conference Board Leading Indicator]]-B105)/B105</f>
        <v>6.4073226544622358E-2</v>
      </c>
      <c r="E117" s="2">
        <v>96.470000999999996</v>
      </c>
      <c r="F117" s="4">
        <f>(Table3[[#This Row],[UMSCI]]-E106)/E106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2">
      <c r="A119" s="6">
        <v>24869</v>
      </c>
      <c r="B119" s="2">
        <v>46.8</v>
      </c>
      <c r="C119" s="4">
        <f>(Table3[[#This Row],[Conference Board Leading Indicator]]-B107)/B107</f>
        <v>7.0938215102974697E-2</v>
      </c>
      <c r="E119" s="2">
        <v>89.360000999999997</v>
      </c>
      <c r="F119" s="4">
        <f>(Table3[[#This Row],[UMSCI]]-E108)/E108</f>
        <v>-9.3125945447647771E-3</v>
      </c>
    </row>
    <row r="120" spans="1:6" x14ac:dyDescent="0.2">
      <c r="A120" s="6">
        <v>24898</v>
      </c>
      <c r="B120" s="2">
        <v>46.9</v>
      </c>
      <c r="C120" s="4">
        <f>(Table3[[#This Row],[Conference Board Leading Indicator]]-B108)/B108</f>
        <v>6.5909090909090876E-2</v>
      </c>
      <c r="E120" s="2">
        <v>90.199996999999996</v>
      </c>
      <c r="F120" s="4">
        <f>(Table3[[#This Row],[UMSCI]]-E109)/E109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2">
      <c r="A122" s="6">
        <v>24959</v>
      </c>
      <c r="B122" s="2">
        <v>47.3</v>
      </c>
      <c r="C122" s="4">
        <f>(Table3[[#This Row],[Conference Board Leading Indicator]]-B110)/B110</f>
        <v>6.2921348314606676E-2</v>
      </c>
      <c r="E122" s="2">
        <v>98.68</v>
      </c>
      <c r="F122" s="4">
        <f>(Table3[[#This Row],[UMSCI]]-E111)/E111</f>
        <v>8.8702571587627704E-2</v>
      </c>
    </row>
    <row r="123" spans="1:6" x14ac:dyDescent="0.2">
      <c r="A123" s="6">
        <v>24990</v>
      </c>
      <c r="B123" s="2">
        <v>47.5</v>
      </c>
      <c r="C123" s="4">
        <f>(Table3[[#This Row],[Conference Board Leading Indicator]]-B111)/B111</f>
        <v>6.0267857142857213E-2</v>
      </c>
      <c r="E123" s="2">
        <v>99.580001999999993</v>
      </c>
      <c r="F123" s="4">
        <f>(Table3[[#This Row],[UMSCI]]-E112)/E112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2">
      <c r="A125" s="6">
        <v>25051</v>
      </c>
      <c r="B125" s="2">
        <v>47.5</v>
      </c>
      <c r="C125" s="4">
        <f>(Table3[[#This Row],[Conference Board Leading Indicator]]-B113)/B113</f>
        <v>4.3956043956043959E-2</v>
      </c>
      <c r="E125" s="2">
        <v>98.860000999999997</v>
      </c>
      <c r="F125" s="4">
        <f>(Table3[[#This Row],[UMSCI]]-E114)/E114</f>
        <v>2.223143441455315E-2</v>
      </c>
    </row>
    <row r="126" spans="1:6" x14ac:dyDescent="0.2">
      <c r="A126" s="6">
        <v>25082</v>
      </c>
      <c r="B126" s="2">
        <v>48</v>
      </c>
      <c r="C126" s="4">
        <f>(Table3[[#This Row],[Conference Board Leading Indicator]]-B114)/B114</f>
        <v>5.0328227571115908E-2</v>
      </c>
      <c r="E126" s="2">
        <v>102.66999800000001</v>
      </c>
      <c r="F126" s="4">
        <f>(Table3[[#This Row],[UMSCI]]-E115)/E115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2">
      <c r="A128" s="6">
        <v>25143</v>
      </c>
      <c r="B128" s="2">
        <v>48.4</v>
      </c>
      <c r="C128" s="4">
        <f>(Table3[[#This Row],[Conference Board Leading Indicator]]-B116)/B116</f>
        <v>4.9891540130151783E-2</v>
      </c>
      <c r="E128" s="2">
        <v>108.370003</v>
      </c>
      <c r="F128" s="4">
        <f>(Table3[[#This Row],[UMSCI]]-E117)/E117</f>
        <v>0.12335443015077818</v>
      </c>
    </row>
    <row r="129" spans="1:6" x14ac:dyDescent="0.2">
      <c r="A129" s="6">
        <v>25173</v>
      </c>
      <c r="B129" s="2">
        <v>48.4</v>
      </c>
      <c r="C129" s="4">
        <f>(Table3[[#This Row],[Conference Board Leading Indicator]]-B117)/B117</f>
        <v>4.0860215053763409E-2</v>
      </c>
      <c r="E129" s="2">
        <v>103.860001</v>
      </c>
      <c r="F129" s="4">
        <f>(Table3[[#This Row],[UMSCI]]-E118)/E118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2">
      <c r="A131" s="6">
        <v>25235</v>
      </c>
      <c r="B131" s="2">
        <v>48.7</v>
      </c>
      <c r="C131" s="4">
        <f>(Table3[[#This Row],[Conference Board Leading Indicator]]-B119)/B119</f>
        <v>4.0598290598290725E-2</v>
      </c>
      <c r="E131" s="2">
        <v>98.129997000000003</v>
      </c>
      <c r="F131" s="4">
        <f>(Table3[[#This Row],[UMSCI]]-E120)/E120</f>
        <v>8.7915745717818669E-2</v>
      </c>
    </row>
    <row r="132" spans="1:6" x14ac:dyDescent="0.2">
      <c r="A132" s="6">
        <v>25263</v>
      </c>
      <c r="B132" s="2">
        <v>48.8</v>
      </c>
      <c r="C132" s="4">
        <f>(Table3[[#This Row],[Conference Board Leading Indicator]]-B120)/B120</f>
        <v>4.0511727078891231E-2</v>
      </c>
      <c r="E132" s="2">
        <v>101.510002</v>
      </c>
      <c r="F132" s="4">
        <f>(Table3[[#This Row],[UMSCI]]-E121)/E121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2">
      <c r="A134" s="6">
        <v>25324</v>
      </c>
      <c r="B134" s="2">
        <v>48.8</v>
      </c>
      <c r="C134" s="4">
        <f>(Table3[[#This Row],[Conference Board Leading Indicator]]-B122)/B122</f>
        <v>3.1712473572938694E-2</v>
      </c>
      <c r="E134" s="2">
        <v>103.459999</v>
      </c>
      <c r="F134" s="4">
        <f>(Table3[[#This Row],[UMSCI]]-E123)/E123</f>
        <v>3.8963616409648225E-2</v>
      </c>
    </row>
    <row r="135" spans="1:6" x14ac:dyDescent="0.2">
      <c r="A135" s="6">
        <v>25355</v>
      </c>
      <c r="B135" s="2">
        <v>48.5</v>
      </c>
      <c r="C135" s="4">
        <f>(Table3[[#This Row],[Conference Board Leading Indicator]]-B123)/B123</f>
        <v>2.1052631578947368E-2</v>
      </c>
      <c r="E135" s="2">
        <v>97.709998999999996</v>
      </c>
      <c r="F135" s="4">
        <f>(Table3[[#This Row],[UMSCI]]-E124)/E124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2">
      <c r="A137" s="6">
        <v>25416</v>
      </c>
      <c r="B137" s="2">
        <v>48.1</v>
      </c>
      <c r="C137" s="4">
        <f>(Table3[[#This Row],[Conference Board Leading Indicator]]-B125)/B125</f>
        <v>1.263157894736845E-2</v>
      </c>
      <c r="E137" s="2">
        <v>95.510002</v>
      </c>
      <c r="F137" s="4">
        <f>(Table3[[#This Row],[UMSCI]]-E126)/E126</f>
        <v>-6.973795791833956E-2</v>
      </c>
    </row>
    <row r="138" spans="1:6" x14ac:dyDescent="0.2">
      <c r="A138" s="6">
        <v>25447</v>
      </c>
      <c r="B138" s="2">
        <v>48.2</v>
      </c>
      <c r="C138" s="4">
        <f>(Table3[[#This Row],[Conference Board Leading Indicator]]-B126)/B126</f>
        <v>4.1666666666667256E-3</v>
      </c>
      <c r="E138" s="2">
        <v>93.120002999999997</v>
      </c>
      <c r="F138" s="4">
        <f>(Table3[[#This Row],[UMSCI]]-E127)/E127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2">
      <c r="A140" s="6">
        <v>25508</v>
      </c>
      <c r="B140" s="2">
        <v>47.7</v>
      </c>
      <c r="C140" s="4">
        <f>(Table3[[#This Row],[Conference Board Leading Indicator]]-B128)/B128</f>
        <v>-1.4462809917355284E-2</v>
      </c>
      <c r="E140" s="2">
        <v>93.809997999999993</v>
      </c>
      <c r="F140" s="4">
        <f>(Table3[[#This Row],[UMSCI]]-E129)/E129</f>
        <v>-9.6764903747690159E-2</v>
      </c>
    </row>
    <row r="141" spans="1:6" x14ac:dyDescent="0.2">
      <c r="A141" s="6">
        <v>25538</v>
      </c>
      <c r="B141" s="2">
        <v>47.4</v>
      </c>
      <c r="C141" s="4">
        <f>(Table3[[#This Row],[Conference Board Leading Indicator]]-B129)/B129</f>
        <v>-2.0661157024793389E-2</v>
      </c>
      <c r="E141" s="2">
        <v>92.059997999999993</v>
      </c>
      <c r="F141" s="4">
        <f>(Table3[[#This Row],[UMSCI]]-E130)/E130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2">
      <c r="A143" s="6">
        <v>25600</v>
      </c>
      <c r="B143" s="2">
        <v>46.5</v>
      </c>
      <c r="C143" s="4">
        <f>(Table3[[#This Row],[Conference Board Leading Indicator]]-B131)/B131</f>
        <v>-4.517453798767973E-2</v>
      </c>
      <c r="E143" s="2">
        <v>89.5</v>
      </c>
      <c r="F143" s="4">
        <f>(Table3[[#This Row],[UMSCI]]-E132)/E132</f>
        <v>-0.11831348402495352</v>
      </c>
    </row>
    <row r="144" spans="1:6" x14ac:dyDescent="0.2">
      <c r="A144" s="6">
        <v>25628</v>
      </c>
      <c r="B144" s="2">
        <v>46.2</v>
      </c>
      <c r="C144" s="4">
        <f>(Table3[[#This Row],[Conference Board Leading Indicator]]-B132)/B132</f>
        <v>-5.327868852459005E-2</v>
      </c>
      <c r="E144" s="2">
        <v>89.629997000000003</v>
      </c>
      <c r="F144" s="4">
        <f>(Table3[[#This Row],[UMSCI]]-E133)/E133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2">
      <c r="A146" s="6">
        <v>25689</v>
      </c>
      <c r="B146" s="2">
        <v>45.8</v>
      </c>
      <c r="C146" s="4">
        <f>(Table3[[#This Row],[Conference Board Leading Indicator]]-B134)/B134</f>
        <v>-6.147540983606558E-2</v>
      </c>
      <c r="E146" s="2">
        <v>76.550003000000004</v>
      </c>
      <c r="F146" s="4">
        <f>(Table3[[#This Row],[UMSCI]]-E135)/E135</f>
        <v>-0.21655916709199838</v>
      </c>
    </row>
    <row r="147" spans="1:6" x14ac:dyDescent="0.2">
      <c r="A147" s="6">
        <v>25720</v>
      </c>
      <c r="B147" s="2">
        <v>45.8</v>
      </c>
      <c r="C147" s="4">
        <f>(Table3[[#This Row],[Conference Board Leading Indicator]]-B135)/B135</f>
        <v>-5.5670103092783564E-2</v>
      </c>
      <c r="E147" s="2">
        <v>72.720000999999996</v>
      </c>
      <c r="F147" s="4">
        <f>(Table3[[#This Row],[UMSCI]]-E136)/E136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2">
      <c r="A149" s="6">
        <v>25781</v>
      </c>
      <c r="B149" s="2">
        <v>46</v>
      </c>
      <c r="C149" s="4">
        <f>(Table3[[#This Row],[Conference Board Leading Indicator]]-B137)/B137</f>
        <v>-4.3659043659043689E-2</v>
      </c>
      <c r="E149" s="2">
        <v>81.519997000000004</v>
      </c>
      <c r="F149" s="4">
        <f>(Table3[[#This Row],[UMSCI]]-E138)/E138</f>
        <v>-0.12457050715515972</v>
      </c>
    </row>
    <row r="150" spans="1:6" x14ac:dyDescent="0.2">
      <c r="A150" s="6">
        <v>25812</v>
      </c>
      <c r="B150" s="2">
        <v>46</v>
      </c>
      <c r="C150" s="4">
        <f>(Table3[[#This Row],[Conference Board Leading Indicator]]-B138)/B138</f>
        <v>-4.5643153526971007E-2</v>
      </c>
      <c r="E150" s="2">
        <v>84.300003000000004</v>
      </c>
      <c r="F150" s="4">
        <f>(Table3[[#This Row],[UMSCI]]-E139)/E139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2">
      <c r="A152" s="6">
        <v>25873</v>
      </c>
      <c r="B152" s="2">
        <v>45.9</v>
      </c>
      <c r="C152" s="4">
        <f>(Table3[[#This Row],[Conference Board Leading Indicator]]-B140)/B140</f>
        <v>-3.7735849056603862E-2</v>
      </c>
      <c r="E152" s="2">
        <v>87.199996999999996</v>
      </c>
      <c r="F152" s="4">
        <f>(Table3[[#This Row],[UMSCI]]-E141)/E141</f>
        <v>-5.2791669623977154E-2</v>
      </c>
    </row>
    <row r="153" spans="1:6" x14ac:dyDescent="0.2">
      <c r="A153" s="6">
        <v>25903</v>
      </c>
      <c r="B153" s="2">
        <v>46.5</v>
      </c>
      <c r="C153" s="4">
        <f>(Table3[[#This Row],[Conference Board Leading Indicator]]-B141)/B141</f>
        <v>-1.8987341772151868E-2</v>
      </c>
      <c r="E153" s="2">
        <v>92.150002000000001</v>
      </c>
      <c r="F153" s="4">
        <f>(Table3[[#This Row],[UMSCI]]-E142)/E142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2">
      <c r="A155" s="6">
        <v>25965</v>
      </c>
      <c r="B155" s="2">
        <v>47.2</v>
      </c>
      <c r="C155" s="4">
        <f>(Table3[[#This Row],[Conference Board Leading Indicator]]-B143)/B143</f>
        <v>1.5053763440860277E-2</v>
      </c>
      <c r="E155" s="2">
        <v>96.75</v>
      </c>
      <c r="F155" s="4">
        <f>(Table3[[#This Row],[UMSCI]]-E144)/E144</f>
        <v>7.943772440380642E-2</v>
      </c>
    </row>
    <row r="156" spans="1:6" x14ac:dyDescent="0.2">
      <c r="A156" s="6">
        <v>25993</v>
      </c>
      <c r="B156" s="2">
        <v>47.6</v>
      </c>
      <c r="C156" s="4">
        <f>(Table3[[#This Row],[Conference Board Leading Indicator]]-B144)/B144</f>
        <v>3.0303030303030269E-2</v>
      </c>
      <c r="E156" s="2">
        <v>100.30999799999999</v>
      </c>
      <c r="F156" s="4">
        <f>(Table3[[#This Row],[UMSCI]]-E145)/E145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2">
      <c r="A158" s="6">
        <v>26054</v>
      </c>
      <c r="B158" s="2">
        <v>48.1</v>
      </c>
      <c r="C158" s="4">
        <f>(Table3[[#This Row],[Conference Board Leading Indicator]]-B146)/B146</f>
        <v>5.0218340611353808E-2</v>
      </c>
      <c r="E158" s="2">
        <v>99.629997000000003</v>
      </c>
      <c r="F158" s="4">
        <f>(Table3[[#This Row],[UMSCI]]-E147)/E147</f>
        <v>0.37004944485630586</v>
      </c>
    </row>
    <row r="159" spans="1:6" x14ac:dyDescent="0.2">
      <c r="A159" s="6">
        <v>26085</v>
      </c>
      <c r="B159" s="2">
        <v>48.2</v>
      </c>
      <c r="C159" s="4">
        <f>(Table3[[#This Row],[Conference Board Leading Indicator]]-B147)/B147</f>
        <v>5.2401746724890959E-2</v>
      </c>
      <c r="E159" s="2">
        <v>98.699996999999996</v>
      </c>
      <c r="F159" s="4">
        <f>(Table3[[#This Row],[UMSCI]]-E148)/E148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2">
      <c r="A161" s="6">
        <v>26146</v>
      </c>
      <c r="B161" s="2">
        <v>48.5</v>
      </c>
      <c r="C161" s="4">
        <f>(Table3[[#This Row],[Conference Board Leading Indicator]]-B149)/B149</f>
        <v>5.434782608695652E-2</v>
      </c>
      <c r="E161" s="2">
        <v>99.029999000000004</v>
      </c>
      <c r="F161" s="4">
        <f>(Table3[[#This Row],[UMSCI]]-E150)/E150</f>
        <v>0.17473304241756668</v>
      </c>
    </row>
    <row r="162" spans="1:6" x14ac:dyDescent="0.2">
      <c r="A162" s="6">
        <v>26177</v>
      </c>
      <c r="B162" s="2">
        <v>48.7</v>
      </c>
      <c r="C162" s="4">
        <f>(Table3[[#This Row],[Conference Board Leading Indicator]]-B150)/B150</f>
        <v>5.8695652173913107E-2</v>
      </c>
      <c r="E162" s="2">
        <v>98.339995999999999</v>
      </c>
      <c r="F162" s="4">
        <f>(Table3[[#This Row],[UMSCI]]-E151)/E151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2">
      <c r="A164" s="6">
        <v>26238</v>
      </c>
      <c r="B164" s="2">
        <v>49.2</v>
      </c>
      <c r="C164" s="4">
        <f>(Table3[[#This Row],[Conference Board Leading Indicator]]-B152)/B152</f>
        <v>7.1895424836601399E-2</v>
      </c>
      <c r="E164" s="2">
        <v>93.989998</v>
      </c>
      <c r="F164" s="4">
        <f>(Table3[[#This Row],[UMSCI]]-E153)/E153</f>
        <v>1.9967400543301119E-2</v>
      </c>
    </row>
    <row r="165" spans="1:6" x14ac:dyDescent="0.2">
      <c r="A165" s="6">
        <v>26268</v>
      </c>
      <c r="B165" s="2">
        <v>49.7</v>
      </c>
      <c r="C165" s="4">
        <f>(Table3[[#This Row],[Conference Board Leading Indicator]]-B153)/B153</f>
        <v>6.8817204301075324E-2</v>
      </c>
      <c r="E165" s="2">
        <v>102.089996</v>
      </c>
      <c r="F165" s="4">
        <f>(Table3[[#This Row],[UMSCI]]-E154)/E154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2">
      <c r="A167" s="6">
        <v>26330</v>
      </c>
      <c r="B167" s="2">
        <v>50.8</v>
      </c>
      <c r="C167" s="4">
        <f>(Table3[[#This Row],[Conference Board Leading Indicator]]-B155)/B155</f>
        <v>7.6271186440677846E-2</v>
      </c>
      <c r="E167" s="2">
        <v>106.57</v>
      </c>
      <c r="F167" s="4">
        <f>(Table3[[#This Row],[UMSCI]]-E156)/E156</f>
        <v>6.2406560909312354E-2</v>
      </c>
    </row>
    <row r="168" spans="1:6" x14ac:dyDescent="0.2">
      <c r="A168" s="6">
        <v>26359</v>
      </c>
      <c r="B168" s="2">
        <v>51.2</v>
      </c>
      <c r="C168" s="4">
        <f>(Table3[[#This Row],[Conference Board Leading Indicator]]-B156)/B156</f>
        <v>7.5630252100840359E-2</v>
      </c>
      <c r="E168" s="2">
        <v>107.199997</v>
      </c>
      <c r="F168" s="4">
        <f>(Table3[[#This Row],[UMSCI]]-E157)/E157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2">
      <c r="A170" s="6">
        <v>26420</v>
      </c>
      <c r="B170" s="2">
        <v>51.7</v>
      </c>
      <c r="C170" s="4">
        <f>(Table3[[#This Row],[Conference Board Leading Indicator]]-B158)/B158</f>
        <v>7.4844074844074876E-2</v>
      </c>
      <c r="E170" s="2">
        <v>109.529999</v>
      </c>
      <c r="F170" s="4">
        <f>(Table3[[#This Row],[UMSCI]]-E159)/E159</f>
        <v>0.10972646736757254</v>
      </c>
    </row>
    <row r="171" spans="1:6" x14ac:dyDescent="0.2">
      <c r="A171" s="6">
        <v>26451</v>
      </c>
      <c r="B171" s="2">
        <v>52.1</v>
      </c>
      <c r="C171" s="4">
        <f>(Table3[[#This Row],[Conference Board Leading Indicator]]-B159)/B159</f>
        <v>8.0912863070539381E-2</v>
      </c>
      <c r="E171" s="2">
        <v>107.139999</v>
      </c>
      <c r="F171" s="4">
        <f>(Table3[[#This Row],[UMSCI]]-E160)/E160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2">
      <c r="A173" s="6">
        <v>26512</v>
      </c>
      <c r="B173" s="2">
        <v>53.1</v>
      </c>
      <c r="C173" s="4">
        <f>(Table3[[#This Row],[Conference Board Leading Indicator]]-B161)/B161</f>
        <v>9.4845360824742292E-2</v>
      </c>
      <c r="E173" s="2">
        <v>111.089996</v>
      </c>
      <c r="F173" s="4">
        <f>(Table3[[#This Row],[UMSCI]]-E162)/E162</f>
        <v>0.1296522322412948</v>
      </c>
    </row>
    <row r="174" spans="1:6" x14ac:dyDescent="0.2">
      <c r="A174" s="6">
        <v>26543</v>
      </c>
      <c r="B174" s="2">
        <v>53.7</v>
      </c>
      <c r="C174" s="4">
        <f>(Table3[[#This Row],[Conference Board Leading Indicator]]-B162)/B162</f>
        <v>0.10266940451745379</v>
      </c>
      <c r="E174" s="2">
        <v>110.550003</v>
      </c>
      <c r="F174" s="4">
        <f>(Table3[[#This Row],[UMSCI]]-E163)/E163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2">
      <c r="A176" s="6">
        <v>26604</v>
      </c>
      <c r="B176" s="2">
        <v>54.7</v>
      </c>
      <c r="C176" s="4">
        <f>(Table3[[#This Row],[Conference Board Leading Indicator]]-B164)/B164</f>
        <v>0.11178861788617886</v>
      </c>
      <c r="E176" s="2">
        <v>116.66999800000001</v>
      </c>
      <c r="F176" s="4">
        <f>(Table3[[#This Row],[UMSCI]]-E165)/E165</f>
        <v>0.14281518827760564</v>
      </c>
    </row>
    <row r="177" spans="1:6" x14ac:dyDescent="0.2">
      <c r="A177" s="6">
        <v>26634</v>
      </c>
      <c r="B177" s="2">
        <v>55.3</v>
      </c>
      <c r="C177" s="4">
        <f>(Table3[[#This Row],[Conference Board Leading Indicator]]-B165)/B165</f>
        <v>0.11267605633802805</v>
      </c>
      <c r="E177" s="2">
        <v>118.050003</v>
      </c>
      <c r="F177" s="4">
        <f>(Table3[[#This Row],[UMSCI]]-E166)/E166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2">
      <c r="A179" s="6">
        <v>26696</v>
      </c>
      <c r="B179" s="2">
        <v>55.8</v>
      </c>
      <c r="C179" s="4">
        <f>(Table3[[#This Row],[Conference Board Leading Indicator]]-B167)/B167</f>
        <v>9.8425196850393706E-2</v>
      </c>
      <c r="E179" s="2">
        <v>111.68</v>
      </c>
      <c r="F179" s="4">
        <f>(Table3[[#This Row],[UMSCI]]-E168)/E168</f>
        <v>4.179107393072045E-2</v>
      </c>
    </row>
    <row r="180" spans="1:6" x14ac:dyDescent="0.2">
      <c r="A180" s="6">
        <v>26724</v>
      </c>
      <c r="B180" s="2">
        <v>55.7</v>
      </c>
      <c r="C180" s="4">
        <f>(Table3[[#This Row],[Conference Board Leading Indicator]]-B168)/B168</f>
        <v>8.7890625E-2</v>
      </c>
      <c r="E180" s="2">
        <v>111.519997</v>
      </c>
      <c r="F180" s="4">
        <f>(Table3[[#This Row],[UMSCI]]-E169)/E169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2">
      <c r="A182" s="6">
        <v>26785</v>
      </c>
      <c r="B182" s="2">
        <v>55.4</v>
      </c>
      <c r="C182" s="4">
        <f>(Table3[[#This Row],[Conference Board Leading Indicator]]-B170)/B170</f>
        <v>7.1566731141199144E-2</v>
      </c>
      <c r="E182" s="2">
        <v>104.949997</v>
      </c>
      <c r="F182" s="4">
        <f>(Table3[[#This Row],[UMSCI]]-E171)/E171</f>
        <v>-2.044056393915037E-2</v>
      </c>
    </row>
    <row r="183" spans="1:6" x14ac:dyDescent="0.2">
      <c r="A183" s="6">
        <v>26816</v>
      </c>
      <c r="B183" s="2">
        <v>55.3</v>
      </c>
      <c r="C183" s="4">
        <f>(Table3[[#This Row],[Conference Board Leading Indicator]]-B171)/B171</f>
        <v>6.1420345489443293E-2</v>
      </c>
      <c r="E183" s="2">
        <v>104.260002</v>
      </c>
      <c r="F183" s="4">
        <f>(Table3[[#This Row],[UMSCI]]-E172)/E172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2">
      <c r="A185" s="6">
        <v>26877</v>
      </c>
      <c r="B185" s="2">
        <v>54.4</v>
      </c>
      <c r="C185" s="4">
        <f>(Table3[[#This Row],[Conference Board Leading Indicator]]-B173)/B173</f>
        <v>2.4482109227871886E-2</v>
      </c>
      <c r="E185" s="2">
        <v>104.25</v>
      </c>
      <c r="F185" s="4">
        <f>(Table3[[#This Row],[UMSCI]]-E174)/E174</f>
        <v>-5.6987813921633303E-2</v>
      </c>
    </row>
    <row r="186" spans="1:6" x14ac:dyDescent="0.2">
      <c r="A186" s="6">
        <v>26908</v>
      </c>
      <c r="B186" s="2">
        <v>54.2</v>
      </c>
      <c r="C186" s="4">
        <f>(Table3[[#This Row],[Conference Board Leading Indicator]]-B174)/B174</f>
        <v>9.3109869646182484E-3</v>
      </c>
      <c r="E186" s="2">
        <v>108.43</v>
      </c>
      <c r="F186" s="4">
        <f>(Table3[[#This Row],[UMSCI]]-E175)/E175</f>
        <v>-2.8230883164888153E-2</v>
      </c>
    </row>
    <row r="187" spans="1:6" x14ac:dyDescent="0.2">
      <c r="A187" s="6">
        <v>26938</v>
      </c>
      <c r="B187" s="2">
        <v>54.1</v>
      </c>
      <c r="C187" s="4">
        <f>(Table3[[#This Row],[Conference Board Leading Indicator]]-B175)/B175</f>
        <v>0</v>
      </c>
      <c r="D187" s="3">
        <v>4.0237570999252563E-2</v>
      </c>
      <c r="E187" s="2">
        <v>108.290001</v>
      </c>
      <c r="F187" s="4">
        <f>(Table3[[#This Row],[UMSCI]]-E176)/E176</f>
        <v>-7.18264947600325E-2</v>
      </c>
    </row>
    <row r="188" spans="1:6" x14ac:dyDescent="0.2">
      <c r="A188" s="6">
        <v>26969</v>
      </c>
      <c r="B188" s="2">
        <v>53.8</v>
      </c>
      <c r="C188" s="4">
        <f>(Table3[[#This Row],[Conference Board Leading Indicator]]-B176)/B176</f>
        <v>-1.6453382084095167E-2</v>
      </c>
      <c r="E188" s="2">
        <v>95.959998999999996</v>
      </c>
      <c r="F188" s="4">
        <f>(Table3[[#This Row],[UMSCI]]-E177)/E177</f>
        <v>-0.18712412908621448</v>
      </c>
    </row>
    <row r="189" spans="1:6" x14ac:dyDescent="0.2">
      <c r="A189" s="6">
        <v>26999</v>
      </c>
      <c r="B189" s="2">
        <v>53.2</v>
      </c>
      <c r="C189" s="4">
        <f>(Table3[[#This Row],[Conference Board Leading Indicator]]-B177)/B177</f>
        <v>-3.7974683544303695E-2</v>
      </c>
      <c r="E189" s="2">
        <v>97.550003000000004</v>
      </c>
      <c r="F189" s="4">
        <f>(Table3[[#This Row],[UMSCI]]-E178)/E178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2">
      <c r="A191" s="6">
        <v>27061</v>
      </c>
      <c r="B191" s="2">
        <v>52.5</v>
      </c>
      <c r="C191" s="4">
        <f>(Table3[[#This Row],[Conference Board Leading Indicator]]-B179)/B179</f>
        <v>-5.9139784946236514E-2</v>
      </c>
      <c r="E191" s="2">
        <v>96.220000999999996</v>
      </c>
      <c r="F191" s="4">
        <f>(Table3[[#This Row],[UMSCI]]-E180)/E180</f>
        <v>-0.13719508977389955</v>
      </c>
    </row>
    <row r="192" spans="1:6" x14ac:dyDescent="0.2">
      <c r="A192" s="6">
        <v>27089</v>
      </c>
      <c r="B192" s="2">
        <v>52.4</v>
      </c>
      <c r="C192" s="4">
        <f>(Table3[[#This Row],[Conference Board Leading Indicator]]-B180)/B180</f>
        <v>-5.9245960502693075E-2</v>
      </c>
      <c r="E192" s="2">
        <v>93.980002999999996</v>
      </c>
      <c r="F192" s="4">
        <f>(Table3[[#This Row],[UMSCI]]-E181)/E181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2">
      <c r="A194" s="6">
        <v>27150</v>
      </c>
      <c r="B194" s="2">
        <v>51.4</v>
      </c>
      <c r="C194" s="4">
        <f>(Table3[[#This Row],[Conference Board Leading Indicator]]-B182)/B182</f>
        <v>-7.2202166064981949E-2</v>
      </c>
      <c r="E194" s="2">
        <v>87.279999000000004</v>
      </c>
      <c r="F194" s="4">
        <f>(Table3[[#This Row],[UMSCI]]-E183)/E183</f>
        <v>-0.16286210123034522</v>
      </c>
    </row>
    <row r="195" spans="1:6" x14ac:dyDescent="0.2">
      <c r="A195" s="6">
        <v>27181</v>
      </c>
      <c r="B195" s="2">
        <v>50.8</v>
      </c>
      <c r="C195" s="4">
        <f>(Table3[[#This Row],[Conference Board Leading Indicator]]-B183)/B183</f>
        <v>-8.1374321880650996E-2</v>
      </c>
      <c r="E195" s="2">
        <v>86</v>
      </c>
      <c r="F195" s="4">
        <f>(Table3[[#This Row],[UMSCI]]-E184)/E184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2">
      <c r="A197" s="6">
        <v>27242</v>
      </c>
      <c r="B197" s="2">
        <v>49.4</v>
      </c>
      <c r="C197" s="4">
        <f>(Table3[[#This Row],[Conference Board Leading Indicator]]-B185)/B185</f>
        <v>-9.1911764705882359E-2</v>
      </c>
      <c r="E197" s="2">
        <v>72.150002000000001</v>
      </c>
      <c r="F197" s="4">
        <f>(Table3[[#This Row],[UMSCI]]-E186)/E186</f>
        <v>-0.33459372867287657</v>
      </c>
    </row>
    <row r="198" spans="1:6" x14ac:dyDescent="0.2">
      <c r="A198" s="6">
        <v>27273</v>
      </c>
      <c r="B198" s="2">
        <v>48.5</v>
      </c>
      <c r="C198" s="4">
        <f>(Table3[[#This Row],[Conference Board Leading Indicator]]-B186)/B186</f>
        <v>-0.10516605166051665</v>
      </c>
      <c r="E198" s="2">
        <v>63.540000999999997</v>
      </c>
      <c r="F198" s="4">
        <f>(Table3[[#This Row],[UMSCI]]-E187)/E187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2">
      <c r="A200" s="6">
        <v>27334</v>
      </c>
      <c r="B200" s="2">
        <v>47.1</v>
      </c>
      <c r="C200" s="4">
        <f>(Table3[[#This Row],[Conference Board Leading Indicator]]-B188)/B188</f>
        <v>-0.12453531598513004</v>
      </c>
      <c r="E200" s="2">
        <v>69.970000999999996</v>
      </c>
      <c r="F200" s="4">
        <f>(Table3[[#This Row],[UMSCI]]-E189)/E189</f>
        <v>-0.28272681857323989</v>
      </c>
    </row>
    <row r="201" spans="1:6" x14ac:dyDescent="0.2">
      <c r="A201" s="6">
        <v>27364</v>
      </c>
      <c r="B201" s="2">
        <v>46.3</v>
      </c>
      <c r="C201" s="4">
        <f>(Table3[[#This Row],[Conference Board Leading Indicator]]-B189)/B189</f>
        <v>-0.12969924812030084</v>
      </c>
      <c r="E201" s="2">
        <v>68.559997999999993</v>
      </c>
      <c r="F201" s="4">
        <f>(Table3[[#This Row],[UMSCI]]-E190)/E190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2">
      <c r="A203" s="6">
        <v>27426</v>
      </c>
      <c r="B203" s="2">
        <v>45.8</v>
      </c>
      <c r="C203" s="4">
        <f>(Table3[[#This Row],[Conference Board Leading Indicator]]-B191)/B191</f>
        <v>-0.12761904761904766</v>
      </c>
      <c r="E203" s="2">
        <v>81.589995999999999</v>
      </c>
      <c r="F203" s="4">
        <f>(Table3[[#This Row],[UMSCI]]-E192)/E192</f>
        <v>-0.1318366312459045</v>
      </c>
    </row>
    <row r="204" spans="1:6" x14ac:dyDescent="0.2">
      <c r="A204" s="6">
        <v>27454</v>
      </c>
      <c r="B204" s="2">
        <v>45.6</v>
      </c>
      <c r="C204" s="4">
        <f>(Table3[[#This Row],[Conference Board Leading Indicator]]-B192)/B192</f>
        <v>-0.12977099236641215</v>
      </c>
      <c r="E204" s="2">
        <v>83.360000999999997</v>
      </c>
      <c r="F204" s="4">
        <f>(Table3[[#This Row],[UMSCI]]-E193)/E193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2">
      <c r="A206" s="6">
        <v>27515</v>
      </c>
      <c r="B206" s="2">
        <v>46.5</v>
      </c>
      <c r="C206" s="4">
        <f>(Table3[[#This Row],[Conference Board Leading Indicator]]-B194)/B194</f>
        <v>-9.5330739299610875E-2</v>
      </c>
      <c r="E206" s="2">
        <v>91.150002000000001</v>
      </c>
      <c r="F206" s="4">
        <f>(Table3[[#This Row],[UMSCI]]-E195)/E195</f>
        <v>5.9883744186046521E-2</v>
      </c>
    </row>
    <row r="207" spans="1:6" x14ac:dyDescent="0.2">
      <c r="A207" s="6">
        <v>27546</v>
      </c>
      <c r="B207" s="2">
        <v>46.8</v>
      </c>
      <c r="C207" s="4">
        <f>(Table3[[#This Row],[Conference Board Leading Indicator]]-B195)/B195</f>
        <v>-7.874015748031496E-2</v>
      </c>
      <c r="E207" s="2">
        <v>95.190002000000007</v>
      </c>
      <c r="F207" s="4">
        <f>(Table3[[#This Row],[UMSCI]]-E196)/E196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2">
      <c r="A209" s="6">
        <v>27607</v>
      </c>
      <c r="B209" s="2">
        <v>47.4</v>
      </c>
      <c r="C209" s="4">
        <f>(Table3[[#This Row],[Conference Board Leading Indicator]]-B197)/B197</f>
        <v>-4.048582995951417E-2</v>
      </c>
      <c r="E209" s="2">
        <v>86.879997000000003</v>
      </c>
      <c r="F209" s="4">
        <f>(Table3[[#This Row],[UMSCI]]-E198)/E198</f>
        <v>0.36732759887743799</v>
      </c>
    </row>
    <row r="210" spans="1:6" x14ac:dyDescent="0.2">
      <c r="A210" s="6">
        <v>27638</v>
      </c>
      <c r="B210" s="2">
        <v>47.6</v>
      </c>
      <c r="C210" s="4">
        <f>(Table3[[#This Row],[Conference Board Leading Indicator]]-B198)/B198</f>
        <v>-1.8556701030927807E-2</v>
      </c>
      <c r="E210" s="2">
        <v>83.870002999999997</v>
      </c>
      <c r="F210" s="4">
        <f>(Table3[[#This Row],[UMSCI]]-E199)/E199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2">
      <c r="A212" s="6">
        <v>27699</v>
      </c>
      <c r="B212" s="2">
        <v>48.2</v>
      </c>
      <c r="C212" s="4">
        <f>(Table3[[#This Row],[Conference Board Leading Indicator]]-B200)/B200</f>
        <v>2.3354564755838671E-2</v>
      </c>
      <c r="E212" s="2">
        <v>91.239998</v>
      </c>
      <c r="F212" s="4">
        <f>(Table3[[#This Row],[UMSCI]]-E201)/E201</f>
        <v>0.33080514383912335</v>
      </c>
    </row>
    <row r="213" spans="1:6" x14ac:dyDescent="0.2">
      <c r="A213" s="6">
        <v>27729</v>
      </c>
      <c r="B213" s="2">
        <v>48.5</v>
      </c>
      <c r="C213" s="4">
        <f>(Table3[[#This Row],[Conference Board Leading Indicator]]-B201)/B201</f>
        <v>4.7516198704103736E-2</v>
      </c>
      <c r="E213" s="2">
        <v>90.190002000000007</v>
      </c>
      <c r="F213" s="4">
        <f>(Table3[[#This Row],[UMSCI]]-E202)/E202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2">
      <c r="A215" s="6">
        <v>27791</v>
      </c>
      <c r="B215" s="2">
        <v>49.9</v>
      </c>
      <c r="C215" s="4">
        <f>(Table3[[#This Row],[Conference Board Leading Indicator]]-B203)/B203</f>
        <v>8.9519650655021876E-2</v>
      </c>
      <c r="E215" s="2">
        <v>99.709998999999996</v>
      </c>
      <c r="F215" s="4">
        <f>(Table3[[#This Row],[UMSCI]]-E204)/E204</f>
        <v>0.19613720973923693</v>
      </c>
    </row>
    <row r="216" spans="1:6" x14ac:dyDescent="0.2">
      <c r="A216" s="6">
        <v>27820</v>
      </c>
      <c r="B216" s="2">
        <v>50.1</v>
      </c>
      <c r="C216" s="4">
        <f>(Table3[[#This Row],[Conference Board Leading Indicator]]-B204)/B204</f>
        <v>9.8684210526315791E-2</v>
      </c>
      <c r="E216" s="2">
        <v>102.769997</v>
      </c>
      <c r="F216" s="4">
        <f>(Table3[[#This Row],[UMSCI]]-E205)/E205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2">
      <c r="A218" s="6">
        <v>27881</v>
      </c>
      <c r="B218" s="2">
        <v>50.7</v>
      </c>
      <c r="C218" s="4">
        <f>(Table3[[#This Row],[Conference Board Leading Indicator]]-B206)/B206</f>
        <v>9.0322580645161354E-2</v>
      </c>
      <c r="E218" s="2">
        <v>100.18</v>
      </c>
      <c r="F218" s="4">
        <f>(Table3[[#This Row],[UMSCI]]-E207)/E207</f>
        <v>5.242145073176907E-2</v>
      </c>
    </row>
    <row r="219" spans="1:6" x14ac:dyDescent="0.2">
      <c r="A219" s="6">
        <v>27912</v>
      </c>
      <c r="B219" s="2">
        <v>50.8</v>
      </c>
      <c r="C219" s="4">
        <f>(Table3[[#This Row],[Conference Board Leading Indicator]]-B207)/B207</f>
        <v>8.5470085470085472E-2</v>
      </c>
      <c r="E219" s="2">
        <v>104.279999</v>
      </c>
      <c r="F219" s="4">
        <f>(Table3[[#This Row],[UMSCI]]-E208)/E208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2">
      <c r="A221" s="6">
        <v>27973</v>
      </c>
      <c r="B221" s="2">
        <v>51.5</v>
      </c>
      <c r="C221" s="4">
        <f>(Table3[[#This Row],[Conference Board Leading Indicator]]-B209)/B209</f>
        <v>8.6497890295358676E-2</v>
      </c>
      <c r="E221" s="2">
        <v>102.910004</v>
      </c>
      <c r="F221" s="4">
        <f>(Table3[[#This Row],[UMSCI]]-E210)/E210</f>
        <v>0.22701800785675427</v>
      </c>
    </row>
    <row r="222" spans="1:6" x14ac:dyDescent="0.2">
      <c r="A222" s="6">
        <v>28004</v>
      </c>
      <c r="B222" s="2">
        <v>51.9</v>
      </c>
      <c r="C222" s="4">
        <f>(Table3[[#This Row],[Conference Board Leading Indicator]]-B210)/B210</f>
        <v>9.0336134453781455E-2</v>
      </c>
      <c r="E222" s="2">
        <v>105.239998</v>
      </c>
      <c r="F222" s="4">
        <f>(Table3[[#This Row],[UMSCI]]-E211)/E211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2">
      <c r="A224" s="6">
        <v>28065</v>
      </c>
      <c r="B224" s="2">
        <v>52.4</v>
      </c>
      <c r="C224" s="4">
        <f>(Table3[[#This Row],[Conference Board Leading Indicator]]-B212)/B212</f>
        <v>8.7136929460580825E-2</v>
      </c>
      <c r="E224" s="2">
        <v>102.099998</v>
      </c>
      <c r="F224" s="4">
        <f>(Table3[[#This Row],[UMSCI]]-E213)/E213</f>
        <v>0.13205450422320639</v>
      </c>
    </row>
    <row r="225" spans="1:6" x14ac:dyDescent="0.2">
      <c r="A225" s="6">
        <v>28095</v>
      </c>
      <c r="B225" s="2">
        <v>52.9</v>
      </c>
      <c r="C225" s="4">
        <f>(Table3[[#This Row],[Conference Board Leading Indicator]]-B213)/B213</f>
        <v>9.0721649484536052E-2</v>
      </c>
      <c r="E225" s="2">
        <v>107.459999</v>
      </c>
      <c r="F225" s="4">
        <f>(Table3[[#This Row],[UMSCI]]-E214)/E214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2">
      <c r="A227" s="6">
        <v>28157</v>
      </c>
      <c r="B227" s="2">
        <v>53.2</v>
      </c>
      <c r="C227" s="4">
        <f>(Table3[[#This Row],[Conference Board Leading Indicator]]-B215)/B215</f>
        <v>6.613226452905821E-2</v>
      </c>
      <c r="E227" s="2">
        <v>99.82</v>
      </c>
      <c r="F227" s="4">
        <f>(Table3[[#This Row],[UMSCI]]-E216)/E216</f>
        <v>-2.8704846610047192E-2</v>
      </c>
    </row>
    <row r="228" spans="1:6" x14ac:dyDescent="0.2">
      <c r="A228" s="6">
        <v>28185</v>
      </c>
      <c r="B228" s="2">
        <v>54</v>
      </c>
      <c r="C228" s="4">
        <f>(Table3[[#This Row],[Conference Board Leading Indicator]]-B216)/B216</f>
        <v>7.7844311377245484E-2</v>
      </c>
      <c r="E228" s="2">
        <v>98.419998000000007</v>
      </c>
      <c r="F228" s="4">
        <f>(Table3[[#This Row],[UMSCI]]-E217)/E217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2">
      <c r="A230" s="6">
        <v>28246</v>
      </c>
      <c r="B230" s="2">
        <v>54.4</v>
      </c>
      <c r="C230" s="4">
        <f>(Table3[[#This Row],[Conference Board Leading Indicator]]-B218)/B218</f>
        <v>7.2978303747534432E-2</v>
      </c>
      <c r="E230" s="2">
        <v>96.120002999999997</v>
      </c>
      <c r="F230" s="4">
        <f>(Table3[[#This Row],[UMSCI]]-E219)/E219</f>
        <v>-7.8250825453115E-2</v>
      </c>
    </row>
    <row r="231" spans="1:6" x14ac:dyDescent="0.2">
      <c r="A231" s="6">
        <v>28277</v>
      </c>
      <c r="B231" s="2">
        <v>54.8</v>
      </c>
      <c r="C231" s="4">
        <f>(Table3[[#This Row],[Conference Board Leading Indicator]]-B219)/B219</f>
        <v>7.874015748031496E-2</v>
      </c>
      <c r="E231" s="2">
        <v>100.480003</v>
      </c>
      <c r="F231" s="4">
        <f>(Table3[[#This Row],[UMSCI]]-E220)/E220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2">
      <c r="A233" s="6">
        <v>28338</v>
      </c>
      <c r="B233" s="2">
        <v>55.1</v>
      </c>
      <c r="C233" s="4">
        <f>(Table3[[#This Row],[Conference Board Leading Indicator]]-B221)/B221</f>
        <v>6.9902912621359253E-2</v>
      </c>
      <c r="E233" s="2">
        <v>96.769997000000004</v>
      </c>
      <c r="F233" s="4">
        <f>(Table3[[#This Row],[UMSCI]]-E222)/E222</f>
        <v>-8.0482717226961528E-2</v>
      </c>
    </row>
    <row r="234" spans="1:6" x14ac:dyDescent="0.2">
      <c r="A234" s="6">
        <v>28369</v>
      </c>
      <c r="B234" s="2">
        <v>55.2</v>
      </c>
      <c r="C234" s="4">
        <f>(Table3[[#This Row],[Conference Board Leading Indicator]]-B222)/B222</f>
        <v>6.3583815028901813E-2</v>
      </c>
      <c r="E234" s="2">
        <v>96.529999000000004</v>
      </c>
      <c r="F234" s="4">
        <f>(Table3[[#This Row],[UMSCI]]-E223)/E223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2">
      <c r="A236" s="6">
        <v>28430</v>
      </c>
      <c r="B236" s="2">
        <v>55.5</v>
      </c>
      <c r="C236" s="4">
        <f>(Table3[[#This Row],[Conference Board Leading Indicator]]-B224)/B224</f>
        <v>5.916030534351148E-2</v>
      </c>
      <c r="E236" s="2">
        <v>94.830001999999993</v>
      </c>
      <c r="F236" s="4">
        <f>(Table3[[#This Row],[UMSCI]]-E225)/E225</f>
        <v>-0.11753207814565496</v>
      </c>
    </row>
    <row r="237" spans="1:6" x14ac:dyDescent="0.2">
      <c r="A237" s="6">
        <v>28460</v>
      </c>
      <c r="B237" s="2">
        <v>55.6</v>
      </c>
      <c r="C237" s="4">
        <f>(Table3[[#This Row],[Conference Board Leading Indicator]]-B225)/B225</f>
        <v>5.1039697542533138E-2</v>
      </c>
      <c r="E237" s="2">
        <v>95.099997999999999</v>
      </c>
      <c r="F237" s="4">
        <f>(Table3[[#This Row],[UMSCI]]-E226)/E226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2">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2">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2">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sheetData>
  <conditionalFormatting sqref="B622:B773">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8"/>
  <sheetViews>
    <sheetView topLeftCell="B1" zoomScale="150" zoomScaleNormal="150" workbookViewId="0">
      <pane ySplit="6" topLeftCell="A227" activePane="bottomLeft" state="frozen"/>
      <selection activeCell="M746" sqref="M746"/>
      <selection pane="bottomLeft" activeCell="I280" sqref="I280"/>
    </sheetView>
  </sheetViews>
  <sheetFormatPr baseColWidth="10" defaultColWidth="9.1640625" defaultRowHeight="15" x14ac:dyDescent="0.2"/>
  <cols>
    <col min="1" max="1" width="14.1640625" style="16" customWidth="1"/>
    <col min="2" max="4" width="16" style="16" customWidth="1"/>
    <col min="5" max="29" width="9.1640625" style="51" customWidth="1"/>
    <col min="30"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row r="277" spans="1:4" x14ac:dyDescent="0.2">
      <c r="A277" s="28">
        <v>44743</v>
      </c>
      <c r="B277" s="15">
        <f>VLOOKUP(Table2[[#This Row],[Date]],'DB LEI'!$A:$F,4)</f>
        <v>51.5</v>
      </c>
      <c r="C277" s="15">
        <f>VLOOKUP(Table2[[#This Row],[Date]],'DB LEI'!$A:$F,5)</f>
        <v>58.1</v>
      </c>
      <c r="D277" s="15">
        <f>VLOOKUP(Table2[[#This Row],[Date]],'DB LEI'!$A:$F,6)</f>
        <v>47.3</v>
      </c>
    </row>
    <row r="278" spans="1:4" x14ac:dyDescent="0.2">
      <c r="A278" s="28">
        <v>44774</v>
      </c>
      <c r="B278" s="15">
        <f>VLOOKUP(Table2[[#This Row],[Date]],'DB LEI'!$A:$F,4)</f>
        <v>58.2</v>
      </c>
      <c r="C278" s="15">
        <f>VLOOKUP(Table2[[#This Row],[Date]],'DB LEI'!$A:$F,5)</f>
        <v>58.6</v>
      </c>
      <c r="D278" s="15">
        <f>VLOOKUP(Table2[[#This Row],[Date]],'DB LEI'!$A:$F,6)</f>
        <v>58</v>
      </c>
    </row>
  </sheetData>
  <conditionalFormatting sqref="B127:B2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2"/>
  <sheetViews>
    <sheetView tabSelected="1" zoomScale="170" zoomScaleNormal="170" workbookViewId="0">
      <pane ySplit="6" topLeftCell="A512" activePane="bottomLeft" state="frozen"/>
      <selection activeCell="D765" sqref="D765"/>
      <selection pane="bottomLeft" activeCell="C540" sqref="C540"/>
    </sheetView>
  </sheetViews>
  <sheetFormatPr baseColWidth="10" defaultColWidth="9.1640625" defaultRowHeight="15" x14ac:dyDescent="0.2"/>
  <cols>
    <col min="1" max="1" width="11.6640625" style="16" customWidth="1"/>
    <col min="2" max="4" width="15" style="16" customWidth="1"/>
    <col min="5" max="29" width="9.1640625" style="51" customWidth="1"/>
    <col min="30"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2">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2">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2">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2">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2">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2">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2">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2">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2">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2">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2">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2">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2">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2">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2">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2">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2">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2">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2">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2">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2">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2">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2">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2">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2">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2">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2">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2">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2">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2">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2">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2">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2">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2">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2">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2">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2">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2">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2">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2">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2">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2">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2">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2">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2">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2">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2">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2">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2">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2">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2">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2">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2">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2">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2">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2">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2">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2">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2">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2">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2">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2">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2">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2">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2">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2">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2">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2">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2">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2">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2">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2">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2">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2">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2">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2">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2">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2">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2">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2">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2">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2">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2">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2">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2">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2">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2">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2">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2">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2">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2">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2">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2">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2">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2">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2">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2">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2">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2">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2">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2">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2">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2">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2">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2">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2">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2">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2">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2">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2">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2">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2">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2">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2">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2">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2">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2">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2">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2">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2">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2">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2">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2">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2">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2">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2">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2">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2">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2">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2">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2">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2">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2">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2">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2">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2">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2">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2">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2">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2">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2">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2">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2">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2">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2">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2">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2">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2">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2">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2">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2">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2">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2">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2">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2">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2">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2">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2">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2">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2">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2">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2">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2">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2">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2">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2">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2">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2">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2">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2">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2">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2">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2">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2">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2">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2">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2">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2">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2">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2">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2">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2">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2">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2">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2">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2">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2">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2">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2">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2">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2">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2">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2">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2">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2">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2">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2">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2">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2">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2">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2">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2">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2">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2">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2">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2">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2">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2">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2">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2">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2">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2">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2">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2">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2">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2">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2">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2">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2">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2">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2">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2">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2">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2">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2">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2">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2">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2">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2">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2">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2">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2">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2">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2">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2">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2">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2">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2">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2">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2">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2">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2">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2">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2">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2">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2">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2">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2">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2">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2">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2">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2">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2">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2">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2">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2">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2">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2">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2">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2">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2">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2">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2">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2">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2">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2">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2">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2">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2">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2">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2">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2">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2">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2">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2">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2">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2">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2">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2">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2">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2">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2">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2">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2">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2">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2">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2">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2">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2">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2">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2">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2">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2">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2">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2">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2">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2">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2">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2">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2">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2">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2">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2">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2">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2">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2">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2">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2">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2">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2">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2">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2">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2">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2">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2">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2">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2">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2">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2">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2">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2">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2">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2">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2">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2">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2">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2">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2">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2">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2">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2">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2">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2">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2">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2">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2">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2">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2">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2">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2">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2">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2">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2">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2">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2">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2">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2">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2">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2">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2">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2">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2">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2">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2">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2">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2">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2">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2">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2">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2">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2">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2">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2">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2">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2">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2">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2">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2">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2">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2">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2">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2">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2">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2">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2">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2">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2">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2">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2">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2">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2">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2">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2">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2">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2">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2">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2">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2">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2">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2">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2">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2">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2">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2">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2">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2">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2">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2">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2">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2">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2">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2">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2">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2">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2">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2">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2">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2">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2">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2">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2">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2">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2">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2">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2">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2">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2">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2">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2">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2">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2">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2">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2">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2">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2">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2">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2">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2">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2">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2">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2">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2">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2">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2">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2">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2">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2">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2">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2">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2">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2">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2">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2">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2">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2">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2">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2">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2">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2">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2">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2">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2">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2">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2">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2">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2">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2">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2">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2">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2">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2">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2">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2">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2">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2">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2">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2">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2">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2">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2">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2">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2">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2">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2">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2">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2">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2">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2">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2">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2">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2">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2">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2">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2">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2">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2">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2">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2">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2">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2">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2">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2">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2">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2">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2">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2">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2">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2">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2">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2">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2">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2">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2">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2">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2">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2">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2">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2">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2">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2">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2">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2">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2">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2">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2">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2">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2">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2">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2">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2">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2">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2">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2">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2">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2">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2">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2">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2">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2">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2">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2">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2">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2">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2">
      <c r="A541" s="25">
        <v>44743</v>
      </c>
      <c r="B541" s="18">
        <f>VLOOKUP(Table48[[#This Row],[Date]],'DB LEI'!$A:$F,5)</f>
        <v>58.1</v>
      </c>
      <c r="C541" s="24" t="str">
        <f>IF(VLOOKUP(Table48[[#This Row],[Date]],'DB LEI'!$A:$M,13)=0,"",VLOOKUP(Table48[[#This Row],[Date]],'DB LEI'!$A:$M,13))</f>
        <v/>
      </c>
      <c r="D541" s="24" t="str">
        <f>IF(VLOOKUP(Table48[[#This Row],[Date]],'DB LEI'!$A:$M,11)=0,"",VLOOKUP(Table48[[#This Row],[Date]],'DB LEI'!$A:$M,11))</f>
        <v/>
      </c>
    </row>
    <row r="542" spans="1:4" x14ac:dyDescent="0.2">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sheetData>
  <conditionalFormatting sqref="B391:B5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2022-10-08T05:58:03Z</dcterms:modified>
</cp:coreProperties>
</file>