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0900" yWindow="820" windowWidth="49040" windowHeight="2786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definedName name="_xlchart.v1.0" hidden="1">'Conference Board'!$A$10:$A$770</definedName>
    <definedName name="_xlchart.v1.1" hidden="1">'Conference Board'!$B$10:$B$770</definedName>
    <definedName name="_xlchart.v1.10" hidden="1">'Conference Board'!$F$9</definedName>
    <definedName name="_xlchart.v1.2" hidden="1">'Conference Board'!$B$9</definedName>
    <definedName name="_xlchart.v1.3" hidden="1">'Conference Board'!$C$10:$C$770</definedName>
    <definedName name="_xlchart.v1.4" hidden="1">'Conference Board'!$C$9</definedName>
    <definedName name="_xlchart.v1.5" hidden="1">'Conference Board'!$D$10:$D$770</definedName>
    <definedName name="_xlchart.v1.6" hidden="1">'Conference Board'!$D$9</definedName>
    <definedName name="_xlchart.v1.7" hidden="1">'Conference Board'!$E$10:$E$770</definedName>
    <definedName name="_xlchart.v1.8" hidden="1">'Conference Board'!$E$9</definedName>
    <definedName name="_xlchart.v1.9" hidden="1">'Conference Board'!$F$10:$F$770</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8" fontId="0" fillId="0" borderId="0" pivotButton="0" quotePrefix="0" xfId="0"/>
  </cellXfs>
  <cellStyles count="4">
    <cellStyle name="Normal" xfId="0" builtinId="0"/>
    <cellStyle name="Per cent" xfId="1" builtinId="5"/>
    <cellStyle name="Hyperlink" xfId="2" builtinId="8"/>
    <cellStyle name="Normal 3" xfId="3"/>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7"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UMCSI!$B$7:$B$277</f>
              <numCache>
                <formatCode>General</formatCode>
                <ptCount val="271"/>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Board'!$A$10:$A$770</f>
              <numCache>
                <formatCode>m/d/yy</formatCode>
                <ptCount val="76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numCache>
            </numRef>
          </cat>
          <val>
            <numRef>
              <f>'Conference Board'!$B$10:$B$770</f>
              <numCache>
                <formatCode>0.00</formatCode>
                <ptCount val="761"/>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Board'!$A$10:$A$770</f>
              <numCache>
                <formatCode>m/d/yy</formatCode>
                <ptCount val="76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numCache>
            </numRef>
          </cat>
          <val>
            <numRef>
              <f>'Conference Board'!$E$10:$E$770</f>
              <numCache>
                <formatCode>0.00</formatCode>
                <ptCount val="761"/>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UMCSI!$A$7:$A$276</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UMCSI!$B$7:$B$276</f>
              <numCache>
                <formatCode>General</formatCode>
                <ptCount val="270"/>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UMCSI!$A$7:$A$276</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UMCSI!$C$7:$C$276</f>
              <numCache>
                <formatCode>General</formatCode>
                <ptCount val="270"/>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UMCSI!$A$7:$A$276</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UMCSI!$D$7:$D$276</f>
              <numCache>
                <formatCode>General</formatCode>
                <ptCount val="270"/>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UMCSI!$C$7:$C$277</f>
              <numCache>
                <formatCode>General</formatCode>
                <ptCount val="271"/>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UMCSI!$B$7:$B$277</f>
              <numCache>
                <formatCode>General</formatCode>
                <ptCount val="271"/>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UMCSI!$D$7:$D$277</f>
              <numCache>
                <formatCode>General</formatCode>
                <ptCount val="271"/>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GDP'!$A$7:$A$541</f>
              <numCache>
                <formatCode>mmm\-yy</formatCode>
                <ptCount val="53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numCache>
            </numRef>
          </cat>
          <val>
            <numRef>
              <f>'UMCSI vs GDP'!$C$7:$C$541</f>
              <numCache>
                <formatCode>0.00%</formatCode>
                <ptCount val="535"/>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pt idx="531">
                  <v>0</v>
                </pt>
                <pt idx="532">
                  <v>0</v>
                </pt>
                <pt idx="533">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GDP'!$A$7:$A$541</f>
              <numCache>
                <formatCode>mmm\-yy</formatCode>
                <ptCount val="53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numCache>
            </numRef>
          </cat>
          <val>
            <numRef>
              <f>'UMCSI vs GDP'!$B$7:$B$541</f>
              <numCache>
                <formatCode>0.0</formatCode>
                <ptCount val="53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GDP'!$A$7:$A$541</f>
              <numCache>
                <formatCode>mmm\-yy</formatCode>
                <ptCount val="53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numCache>
            </numRef>
          </cat>
          <val>
            <numRef>
              <f>'UMCSI vs GDP'!$D$7:$D$541</f>
              <numCache>
                <formatCode>0.00%</formatCode>
                <ptCount val="535"/>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pt idx="531">
                  <v>0</v>
                </pt>
                <pt idx="532">
                  <v>0</v>
                </pt>
                <pt idx="533">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GDP'!$A$7:$A$541</f>
              <numCache>
                <formatCode>mmm\-yy</formatCode>
                <ptCount val="53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numCache>
            </numRef>
          </cat>
          <val>
            <numRef>
              <f>'UMCSI vs GDP'!$B$7:$B$541</f>
              <numCache>
                <formatCode>0.0</formatCode>
                <ptCount val="53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0" headerRowCount="1" totalsRowShown="0" headerRowDxfId="22" dataDxfId="21">
  <autoFilter ref="A9:F770"/>
  <tableColumns count="6">
    <tableColumn id="1" name="Date" dataDxfId="20"/>
    <tableColumn id="2" name="Conference Board Leading Indicator" dataDxfId="19"/>
    <tableColumn id="3" name="Var y/y %" dataDxfId="18"/>
    <tableColumn id="4" name="GDP y/y %" dataDxfId="17"/>
    <tableColumn id="5" name="UMSCI" dataDxfId="16"/>
    <tableColumn id="6" name="SUMSCI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6" headerRowCount="1" totalsRowShown="0" headerRowDxfId="14" dataDxfId="12" headerRowBorderDxfId="13">
  <autoFilter ref="A6:D276"/>
  <sortState ref="A7:D224">
    <sortCondition ref="A7:A224"/>
  </sortState>
  <tableColumns count="4">
    <tableColumn id="1" name="Date" dataDxfId="11"/>
    <tableColumn id="2" name="UMCSI" dataDxfId="10">
      <calculatedColumnFormula>VLOOKUP(Table2[[#This Row],[Date]],'DB LEI'!$A:$F,4)</calculatedColumnFormula>
    </tableColumn>
    <tableColumn id="3" name="Mich Current Index" dataDxfId="9">
      <calculatedColumnFormula>VLOOKUP(Table2[[#This Row],[Date]],'DB LEI'!$A:$F,5)</calculatedColumnFormula>
    </tableColumn>
    <tableColumn id="4"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0" headerRowCount="1" totalsRowShown="0" headerRowDxfId="7" dataDxfId="5" headerRowBorderDxfId="6" tableBorderDxfId="4">
  <autoFilter ref="A6:D540"/>
  <sortState ref="A7:D385">
    <sortCondition ref="B15:B512"/>
  </sortState>
  <tableColumns count="4">
    <tableColumn id="1" name="Date" dataDxfId="3"/>
    <tableColumn id="2" name="UMCSI" dataDxfId="2">
      <calculatedColumnFormula>VLOOKUP(Table48[[#This Row],[Date]],'DB LEI'!$A:$F,5)</calculatedColumnFormula>
    </tableColumn>
    <tableColumn id="3" name="GDP yoy %" dataDxfId="1">
      <calculatedColumnFormula>IF(VLOOKUP(Table48[[#This Row],[Date]],'DB LEI'!$A:$I,9)=0,"",VLOOKUP(Table48[[#This Row],[Date]],'DB LEI'!$A:$I,9))</calculatedColumnFormula>
    </tableColumn>
    <tableColumn id="4" name="GDP q0q %" dataDxfId="0">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L22" sqref="L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4"/>
    <col width="9.1640625" customWidth="1" style="55" min="35"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44713</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6"/>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19806.29</v>
      </c>
      <c r="H748" t="n">
        <v>0.01679094392068376</v>
      </c>
      <c r="I748" t="n">
        <v>0.05531736362184171</v>
      </c>
      <c r="J748" t="n">
        <v>0.06887440582969107</v>
      </c>
      <c r="K748" t="n">
        <v>0.01680778265992841</v>
      </c>
      <c r="L748" t="n">
        <v>0.06894521269365228</v>
      </c>
      <c r="M748" t="n">
        <v>0.05533484038440792</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19727.918</v>
      </c>
      <c r="H751" t="n">
        <v/>
      </c>
      <c r="I751" t="n">
        <v/>
      </c>
      <c r="J751" t="n">
        <v/>
      </c>
      <c r="K751" t="n">
        <v>-0.003956924795102939</v>
      </c>
      <c r="L751" t="n">
        <v>-0.01573400323056107</v>
      </c>
      <c r="M751" t="n">
        <v>0.03527892376305106</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
      </c>
      <c r="H754" t="n">
        <v/>
      </c>
      <c r="I754" t="n">
        <v/>
      </c>
      <c r="J754" t="n">
        <v/>
      </c>
      <c r="K754" t="n">
        <v/>
      </c>
      <c r="L754" t="n">
        <v/>
      </c>
      <c r="M754" t="n">
        <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0"/>
  <sheetViews>
    <sheetView zoomScale="150" zoomScaleNormal="150" workbookViewId="0">
      <pane ySplit="9" topLeftCell="A743" activePane="bottomLeft" state="frozen"/>
      <selection activeCell="F487" sqref="F487"/>
      <selection pane="bottomLeft" activeCell="C777" sqref="C77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5"/>
    <col width="9.1640625" customWidth="1" style="55" min="26"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sheetData>
  <conditionalFormatting sqref="B622:B77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76"/>
  <sheetViews>
    <sheetView zoomScale="150" zoomScaleNormal="150" workbookViewId="0">
      <pane ySplit="6" topLeftCell="A247" activePane="bottomLeft" state="frozen"/>
      <selection activeCell="M746" sqref="M746"/>
      <selection pane="bottomLeft" activeCell="U278" sqref="U278"/>
    </sheetView>
  </sheetViews>
  <sheetFormatPr baseColWidth="10" defaultColWidth="9.1640625" defaultRowHeight="15"/>
  <cols>
    <col width="14.1640625" customWidth="1" style="16" min="1" max="1"/>
    <col width="16" customWidth="1" style="16" min="2" max="4"/>
    <col width="9.1640625" customWidth="1" style="55" min="5" max="23"/>
    <col width="9.1640625" customWidth="1" style="55" min="24"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sheetData>
  <conditionalFormatting sqref="B127:B2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0"/>
  <sheetViews>
    <sheetView tabSelected="1" zoomScale="170" zoomScaleNormal="170" workbookViewId="0">
      <pane ySplit="6" topLeftCell="A515" activePane="bottomLeft" state="frozen"/>
      <selection activeCell="M746" sqref="M746"/>
      <selection pane="bottomLeft" activeCell="P516" sqref="P516"/>
    </sheetView>
  </sheetViews>
  <sheetFormatPr baseColWidth="10" defaultColWidth="9.1640625" defaultRowHeight="15"/>
  <cols>
    <col width="11.6640625" customWidth="1" style="16" min="1" max="1"/>
    <col width="15" customWidth="1" style="16" min="2" max="4"/>
    <col width="9.1640625" customWidth="1" style="55" min="5" max="23"/>
    <col width="9.1640625" customWidth="1" style="55" min="24"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row r="538">
      <c r="A538" s="25" t="n">
        <v>44652</v>
      </c>
      <c r="B538" s="18">
        <f>VLOOKUP(Table48[[#This Row],[Date]],'DB LEI'!$A:$F,5)</f>
        <v/>
      </c>
      <c r="C538" s="24">
        <f>IF(VLOOKUP(Table48[[#This Row],[Date]],'DB LEI'!$A:$I,9)=0,"",VLOOKUP(Table48[[#This Row],[Date]],'DB LEI'!$A:$I,9))</f>
        <v/>
      </c>
      <c r="D538" s="24">
        <f>IF(VLOOKUP(Table48[[#This Row],[Date]],'DB LEI'!$A:$I,8)=0,"",VLOOKUP(Table48[[#This Row],[Date]],'DB LEI'!$A:$I,8))</f>
        <v/>
      </c>
    </row>
    <row r="539">
      <c r="A539" s="25" t="n">
        <v>44682</v>
      </c>
      <c r="B539" s="18">
        <f>VLOOKUP(Table48[[#This Row],[Date]],'DB LEI'!$A:$F,5)</f>
        <v/>
      </c>
      <c r="C539" s="24">
        <f>IF(VLOOKUP(Table48[[#This Row],[Date]],'DB LEI'!$A:$I,9)=0,"",VLOOKUP(Table48[[#This Row],[Date]],'DB LEI'!$A:$I,9))</f>
        <v/>
      </c>
      <c r="D539" s="24">
        <f>IF(VLOOKUP(Table48[[#This Row],[Date]],'DB LEI'!$A:$I,8)=0,"",VLOOKUP(Table48[[#This Row],[Date]],'DB LEI'!$A:$I,8))</f>
        <v/>
      </c>
    </row>
    <row r="540">
      <c r="A540" s="25" t="n">
        <v>44713</v>
      </c>
      <c r="B540" s="18">
        <f>VLOOKUP(Table48[[#This Row],[Date]],'DB LEI'!$A:$F,5)</f>
        <v/>
      </c>
      <c r="C540" s="24">
        <f>IF(VLOOKUP(Table48[[#This Row],[Date]],'DB LEI'!$A:$I,9)=0,"",VLOOKUP(Table48[[#This Row],[Date]],'DB LEI'!$A:$I,9))</f>
        <v/>
      </c>
      <c r="D540" s="24">
        <f>IF(VLOOKUP(Table48[[#This Row],[Date]],'DB LEI'!$A:$I,8)=0,"",VLOOKUP(Table48[[#This Row],[Date]],'DB LEI'!$A:$I,8))</f>
        <v/>
      </c>
    </row>
  </sheetData>
  <conditionalFormatting sqref="B391:B54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2022-07-22T12:55:41Z</dcterms:modified>
  <cp:lastModifiedBy>Mark Mukherjee</cp:lastModifiedBy>
</cp:coreProperties>
</file>