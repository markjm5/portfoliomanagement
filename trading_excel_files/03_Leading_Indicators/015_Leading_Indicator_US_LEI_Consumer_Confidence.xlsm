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'Conference Board'!$B$10:$B$776</f>
              <numCache>
                <formatCode>0.00</formatCode>
                <ptCount val="767"/>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UMCSI!$B$7:$B$280</f>
              <numCache>
                <formatCode>General</formatCode>
                <ptCount val="274"/>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UMCSI!$C$7:$C$280</f>
              <numCache>
                <formatCode>General</formatCode>
                <ptCount val="27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UMCSI!$D$7:$D$280</f>
              <numCache>
                <formatCode>General</formatCode>
                <ptCount val="27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UMCSI!$C$7:$C$281</f>
              <numCache>
                <formatCode>General</formatCode>
                <ptCount val="27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UMCSI!$D$7:$D$281</f>
              <numCache>
                <formatCode>General</formatCode>
                <ptCount val="27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GDP'!$C$7:$C$547</f>
              <numCache>
                <formatCode>0.00%</formatCode>
                <ptCount val="541"/>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0.01864583796117574</v>
                </pt>
                <pt idx="535">
                  <v>0</v>
                </pt>
                <pt idx="536">
                  <v>0</v>
                </pt>
                <pt idx="537">
                  <v>0</v>
                </pt>
                <pt idx="538">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GDP'!$B$7:$B$547</f>
              <numCache>
                <formatCode>0.0</formatCode>
                <ptCount val="541"/>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0.007244686438299754</v>
                </pt>
                <pt idx="535">
                  <v>0</v>
                </pt>
                <pt idx="536">
                  <v>0</v>
                </pt>
                <pt idx="537">
                  <v>0</v>
                </pt>
                <pt idx="538">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18</col>
      <colOff>98424</colOff>
      <row>521</row>
      <rowOff>14941</rowOff>
    </from>
    <to>
      <col>31</col>
      <colOff>174625</colOff>
      <row>549</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184243</colOff>
      <row>521</row>
      <rowOff>41652</rowOff>
    </from>
    <to>
      <col>17</col>
      <colOff>412750</colOff>
      <row>549</row>
      <rowOff>-1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5" headerRowCount="1" totalsRowShown="0" headerRowDxfId="22" dataDxfId="21">
  <autoFilter ref="A9:F775"/>
  <tableColumns count="6">
    <tableColumn id="1" name="Date" dataDxfId="20"/>
    <tableColumn id="2" name="Conference Board Leading Indicator" dataDxfId="19"/>
    <tableColumn id="3" name="Var y/y %" dataDxfId="18"/>
    <tableColumn id="4" name="GDP y/y %" dataDxfId="17"/>
    <tableColumn id="5" name="UMSCI" dataDxfId="16"/>
    <tableColumn id="6" name="SUMSCI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0" headerRowCount="1" totalsRowShown="0" headerRowDxfId="14" dataDxfId="12" headerRowBorderDxfId="13">
  <autoFilter ref="A6:D280"/>
  <sortState ref="A7:D224">
    <sortCondition ref="A7:A224"/>
  </sortState>
  <tableColumns count="4">
    <tableColumn id="1" name="Date" dataDxfId="11"/>
    <tableColumn id="2" name="UMCSI" dataDxfId="10">
      <calculatedColumnFormula>VLOOKUP(Table2[[#This Row],[Date]],'DB LEI'!$A:$F,4)</calculatedColumnFormula>
    </tableColumn>
    <tableColumn id="3" name="Mich Current Index" dataDxfId="9">
      <calculatedColumnFormula>VLOOKUP(Table2[[#This Row],[Date]],'DB LEI'!$A:$F,5)</calculatedColumnFormula>
    </tableColumn>
    <tableColumn id="4"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5" headerRowCount="1" totalsRowShown="0" headerRowDxfId="7" dataDxfId="5" headerRowBorderDxfId="6" tableBorderDxfId="4">
  <autoFilter ref="A6:D545"/>
  <sortState ref="A7:D385">
    <sortCondition ref="B15:B512"/>
  </sortState>
  <tableColumns count="4">
    <tableColumn id="1" name="Date" dataDxfId="3"/>
    <tableColumn id="2" name="UMCSI" dataDxfId="2">
      <calculatedColumnFormula>VLOOKUP(Table48[[#This Row],[Date]],'DB LEI'!$A:$F,5)</calculatedColumnFormula>
    </tableColumn>
    <tableColumn id="3" name="GDP yoy %" dataDxfId="1">
      <calculatedColumnFormula>IF(VLOOKUP(Table48[[#This Row],[Date]],'DB LEI'!$A:$M,13)=0,"",VLOOKUP(Table48[[#This Row],[Date]],'DB LEI'!$A:$M,13))</calculatedColumnFormula>
    </tableColumn>
    <tableColumn id="4" name="GDP qoq %" dataDxfId="0">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opLeftCell="F1" zoomScale="110" zoomScaleNormal="110" workbookViewId="0">
      <selection activeCell="Q22" sqref="Q22"/>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46"/>
    <col width="9.1796875" customWidth="1" style="55" min="47"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44835</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2"/>
  <sheetViews>
    <sheetView zoomScale="110" zoomScaleNormal="110" workbookViewId="0">
      <pane ySplit="1" topLeftCell="A736" activePane="bottomLeft" state="frozen"/>
      <selection activeCell="Q22" sqref="Q22"/>
      <selection pane="bottomLeft" activeCell="Q22" sqref="Q22"/>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20054.663</v>
      </c>
      <c r="H757" t="n">
        <v/>
      </c>
      <c r="I757" t="n">
        <v/>
      </c>
      <c r="J757" t="n">
        <v/>
      </c>
      <c r="K757" t="n">
        <v>0.008011552091951892</v>
      </c>
      <c r="L757" t="n">
        <v>0.03243337917387401</v>
      </c>
      <c r="M757" t="n">
        <v>0.01942138388053957</v>
      </c>
    </row>
    <row r="758">
      <c r="A758" s="68" t="n">
        <v>44774</v>
      </c>
      <c r="B758" t="n">
        <v>116.2</v>
      </c>
      <c r="C758" t="n">
        <v>3955</v>
      </c>
      <c r="D758" t="n">
        <v>58.2</v>
      </c>
      <c r="E758" t="n">
        <v>58.6</v>
      </c>
      <c r="F758" t="n">
        <v>58</v>
      </c>
      <c r="G758" t="n">
        <v/>
      </c>
      <c r="H758" t="n">
        <v/>
      </c>
      <c r="I758" t="n">
        <v/>
      </c>
      <c r="J758" t="n">
        <v/>
      </c>
      <c r="K758" t="n">
        <v/>
      </c>
      <c r="L758" t="n">
        <v/>
      </c>
      <c r="M758" t="n">
        <v/>
      </c>
    </row>
    <row r="759">
      <c r="A759" s="68" t="n">
        <v>44805</v>
      </c>
      <c r="B759" t="n">
        <v>115.9</v>
      </c>
      <c r="C759" t="n">
        <v>3585.6201171875</v>
      </c>
      <c r="D759" t="n">
        <v>58.6</v>
      </c>
      <c r="E759" t="n">
        <v>59.7</v>
      </c>
      <c r="F759" t="n">
        <v>58</v>
      </c>
      <c r="G759" t="n">
        <v/>
      </c>
      <c r="H759" t="n">
        <v/>
      </c>
      <c r="I759" t="n">
        <v/>
      </c>
      <c r="J759" t="n">
        <v/>
      </c>
      <c r="K759" t="n">
        <v/>
      </c>
      <c r="L759" t="n">
        <v/>
      </c>
      <c r="M759" t="n">
        <v/>
      </c>
    </row>
    <row r="760">
      <c r="A760" s="68" t="n">
        <v>44835</v>
      </c>
      <c r="B760" t="n">
        <v>114.9</v>
      </c>
      <c r="C760" t="n">
        <v>3871.97998046875</v>
      </c>
      <c r="D760" t="n">
        <v>59.9</v>
      </c>
      <c r="E760" t="n">
        <v>65.59999999999999</v>
      </c>
      <c r="F760" t="n">
        <v>56.2</v>
      </c>
      <c r="G760" t="n">
        <v/>
      </c>
      <c r="H760" t="n">
        <v/>
      </c>
      <c r="I760" t="n">
        <v/>
      </c>
      <c r="J760" t="n">
        <v/>
      </c>
      <c r="K760" t="n">
        <v/>
      </c>
      <c r="L760" t="n">
        <v/>
      </c>
      <c r="M760" t="n">
        <v/>
      </c>
    </row>
    <row r="761">
      <c r="A761" s="68" t="n">
        <v>44866</v>
      </c>
      <c r="B761" t="n">
        <v>113.5</v>
      </c>
      <c r="C761" t="n">
        <v>4080.110107421875</v>
      </c>
      <c r="D761" t="n">
        <v>56.8</v>
      </c>
      <c r="E761" t="n">
        <v>58.8</v>
      </c>
      <c r="F761" t="n">
        <v>55.6</v>
      </c>
      <c r="G761" t="n">
        <v/>
      </c>
      <c r="H761" t="n">
        <v/>
      </c>
      <c r="I761" t="n">
        <v/>
      </c>
      <c r="J761" t="n">
        <v/>
      </c>
      <c r="K761" t="n">
        <v/>
      </c>
      <c r="L761" t="n">
        <v/>
      </c>
      <c r="M761" t="n">
        <v/>
      </c>
    </row>
    <row r="762">
      <c r="A762" s="68" t="n">
        <v>44896</v>
      </c>
      <c r="B762" t="n">
        <v/>
      </c>
      <c r="C762" t="n">
        <v/>
      </c>
      <c r="D762" t="n">
        <v>59.7</v>
      </c>
      <c r="E762" t="n">
        <v>59.4</v>
      </c>
      <c r="F762" t="n">
        <v>59.9</v>
      </c>
      <c r="G762" t="n">
        <v/>
      </c>
      <c r="H762" t="n">
        <v/>
      </c>
      <c r="I762" t="n">
        <v/>
      </c>
      <c r="J762" t="n">
        <v/>
      </c>
      <c r="K762" t="n">
        <v/>
      </c>
      <c r="L762" t="n">
        <v/>
      </c>
      <c r="M762"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5"/>
  <sheetViews>
    <sheetView zoomScale="80" zoomScaleNormal="80" workbookViewId="0">
      <pane ySplit="9" topLeftCell="A739" activePane="bottomLeft" state="frozen"/>
      <selection activeCell="H751" sqref="H751"/>
      <selection pane="bottomLeft" activeCell="Z774" sqref="Z774"/>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37"/>
    <col width="9.1796875" customWidth="1" style="55" min="38"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sheetData>
  <conditionalFormatting sqref="B622:B7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0"/>
  <sheetViews>
    <sheetView zoomScale="80" zoomScaleNormal="80" workbookViewId="0">
      <pane ySplit="6" topLeftCell="A247" activePane="bottomLeft" state="frozen"/>
      <selection activeCell="M746" sqref="M746"/>
      <selection pane="bottomLeft" activeCell="L238" sqref="L238"/>
    </sheetView>
  </sheetViews>
  <sheetFormatPr baseColWidth="8" defaultColWidth="9.1796875" defaultRowHeight="14.5"/>
  <cols>
    <col width="14.1796875" customWidth="1" style="16" min="1" max="1"/>
    <col width="16" customWidth="1" style="16" min="2" max="4"/>
    <col width="9.1796875" customWidth="1" style="55" min="5" max="35"/>
    <col width="9.1796875" customWidth="1" style="55" min="36"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5"/>
  <sheetViews>
    <sheetView tabSelected="1" zoomScale="110" zoomScaleNormal="110" workbookViewId="0">
      <pane ySplit="6" topLeftCell="A516" activePane="bottomLeft" state="frozen"/>
      <selection activeCell="L765" sqref="L765"/>
      <selection pane="bottomLeft" activeCell="BR575" sqref="BR575"/>
    </sheetView>
  </sheetViews>
  <sheetFormatPr baseColWidth="8" defaultColWidth="9.1796875" defaultRowHeight="14.5"/>
  <cols>
    <col width="11.6328125" customWidth="1" style="16" min="1" max="1"/>
    <col width="15" customWidth="1" style="16" min="2" max="4"/>
    <col width="9.1796875" customWidth="1" style="55" min="5" max="35"/>
    <col width="9.1796875" customWidth="1" style="55" min="36"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sheetData>
  <conditionalFormatting sqref="B391:B54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2022-12-10T03:46:21Z</dcterms:modified>
  <cp:lastModifiedBy>Mark Mukherjee</cp:lastModifiedBy>
</cp:coreProperties>
</file>