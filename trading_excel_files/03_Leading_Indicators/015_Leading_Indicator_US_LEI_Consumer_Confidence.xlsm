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UMCSI!$B$7:$B$283</f>
              <numCache>
                <formatCode>General</formatCode>
                <ptCount val="27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'Conference Board'!$B$10:$B$777</f>
              <numCache>
                <formatCode>0.00</formatCode>
                <ptCount val="768"/>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pt idx="766">
                  <v>113.5</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pt idx="766">
                  <v>56.8</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UMCSI!$A$7:$A$282</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UMCSI!$B$7:$B$282</f>
              <numCache>
                <formatCode>General</formatCode>
                <ptCount val="27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UMCSI!$A$7:$A$282</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UMCSI!$C$7:$C$282</f>
              <numCache>
                <formatCode>General</formatCode>
                <ptCount val="276"/>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UMCSI!$A$7:$A$282</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UMCSI!$D$7:$D$282</f>
              <numCache>
                <formatCode>General</formatCode>
                <ptCount val="276"/>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UMCSI!$C$7:$C$283</f>
              <numCache>
                <formatCode>General</formatCode>
                <ptCount val="27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UMCSI!$B$7:$B$283</f>
              <numCache>
                <formatCode>General</formatCode>
                <ptCount val="27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UMCSI!$D$7:$D$283</f>
              <numCache>
                <formatCode>General</formatCode>
                <ptCount val="27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GDP'!$C$7:$C$547</f>
              <numCache>
                <formatCode>0.00%</formatCode>
                <ptCount val="541"/>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0.01942138388053957</v>
                </pt>
                <pt idx="535">
                  <v>0</v>
                </pt>
                <pt idx="536">
                  <v>0</v>
                </pt>
                <pt idx="537">
                  <v>0</v>
                </pt>
                <pt idx="538">
                  <v>0</v>
                </pt>
                <pt idx="539">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GDP'!$B$7:$B$547</f>
              <numCache>
                <formatCode>0.0</formatCode>
                <ptCount val="541"/>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0.008011552091951892</v>
                </pt>
                <pt idx="535">
                  <v>0</v>
                </pt>
                <pt idx="536">
                  <v>0</v>
                </pt>
                <pt idx="537">
                  <v>0</v>
                </pt>
                <pt idx="538">
                  <v>0</v>
                </pt>
                <pt idx="539">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18</col>
      <colOff>98424</colOff>
      <row>521</row>
      <rowOff>14941</rowOff>
    </from>
    <to>
      <col>31</col>
      <colOff>174625</colOff>
      <row>549</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184243</colOff>
      <row>521</row>
      <rowOff>41652</rowOff>
    </from>
    <to>
      <col>17</col>
      <colOff>412750</colOff>
      <row>549</row>
      <rowOff>-1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6" headerRowCount="1" totalsRowShown="0" headerRowDxfId="24" dataDxfId="23">
  <autoFilter ref="A9:F776"/>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2" headerRowCount="1" totalsRowShown="0" headerRowDxfId="16" dataDxfId="14" headerRowBorderDxfId="15">
  <autoFilter ref="A6:D282"/>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6" headerRowCount="1" totalsRowShown="0" headerRowDxfId="9" dataDxfId="7" headerRowBorderDxfId="8" tableBorderDxfId="6">
  <autoFilter ref="A6:D546"/>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abSelected="1" topLeftCell="F1" zoomScale="110" zoomScaleNormal="110" workbookViewId="0">
      <selection activeCell="AB19" sqref="AB19"/>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47"/>
    <col width="9.1796875" customWidth="1" style="55" min="48"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44896</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2"/>
  <sheetViews>
    <sheetView zoomScale="110" zoomScaleNormal="110" workbookViewId="0">
      <pane ySplit="1" topLeftCell="A736" activePane="bottomLeft" state="frozen"/>
      <selection activeCell="Q22" sqref="Q22"/>
      <selection pane="bottomLeft" activeCell="Q22" sqref="Q22"/>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
      </c>
      <c r="H760" t="n">
        <v/>
      </c>
      <c r="I760" t="n">
        <v/>
      </c>
      <c r="J760" t="n">
        <v/>
      </c>
      <c r="K760" t="n">
        <v/>
      </c>
      <c r="L760" t="n">
        <v/>
      </c>
      <c r="M760" t="n">
        <v/>
      </c>
    </row>
    <row r="761">
      <c r="A761" s="68" t="n">
        <v>44866</v>
      </c>
      <c r="B761" t="n">
        <v>113.5</v>
      </c>
      <c r="C761" t="n">
        <v>4080.110107421875</v>
      </c>
      <c r="D761" t="n">
        <v>56.8</v>
      </c>
      <c r="E761" t="n">
        <v>58.8</v>
      </c>
      <c r="F761" t="n">
        <v>55.6</v>
      </c>
      <c r="G761" t="n">
        <v/>
      </c>
      <c r="H761" t="n">
        <v/>
      </c>
      <c r="I761" t="n">
        <v/>
      </c>
      <c r="J761" t="n">
        <v/>
      </c>
      <c r="K761" t="n">
        <v/>
      </c>
      <c r="L761" t="n">
        <v/>
      </c>
      <c r="M761" t="n">
        <v/>
      </c>
    </row>
    <row r="762">
      <c r="A762" s="68" t="n">
        <v>44896</v>
      </c>
      <c r="B762" t="n">
        <v/>
      </c>
      <c r="C762" t="n">
        <v>3839.5</v>
      </c>
      <c r="D762" t="n">
        <v>59.7</v>
      </c>
      <c r="E762" t="n">
        <v>59.4</v>
      </c>
      <c r="F762" t="n">
        <v>59.9</v>
      </c>
      <c r="G762" t="n">
        <v/>
      </c>
      <c r="H762" t="n">
        <v/>
      </c>
      <c r="I762" t="n">
        <v/>
      </c>
      <c r="J762" t="n">
        <v/>
      </c>
      <c r="K762" t="n">
        <v/>
      </c>
      <c r="L762" t="n">
        <v/>
      </c>
      <c r="M762"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6"/>
  <sheetViews>
    <sheetView zoomScale="110" zoomScaleNormal="110" workbookViewId="0">
      <pane ySplit="9" topLeftCell="A745" activePane="bottomLeft" state="frozen"/>
      <selection activeCell="H751" sqref="H751"/>
      <selection pane="bottomLeft" activeCell="Z766" sqref="Z766"/>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38"/>
    <col width="9.1796875" customWidth="1" style="55" min="39"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row r="776">
      <c r="A776" s="6" t="n">
        <v>44866</v>
      </c>
      <c r="B776" s="2">
        <f>VLOOKUP(Table3[[#This Row],[Date]],'DB LEI'!$A:$F,2)</f>
        <v/>
      </c>
      <c r="C776" s="4">
        <f>(Table3[[#This Row],[Conference Board Leading Indicator]]-B764)/B764</f>
        <v/>
      </c>
      <c r="D776" s="3">
        <f>IF(VLOOKUP(Table3[[#This Row],[Date]],'DB LEI'!$A:$I,9)=0,"",VLOOKUP(Table3[[#This Row],[Date]],'DB LEI'!$A:$I,9))</f>
        <v/>
      </c>
      <c r="E776" s="2">
        <f>VLOOKUP(Table3[[#This Row],[Date]],'DB LEI'!$A:$F,4)</f>
        <v/>
      </c>
      <c r="F776" s="4">
        <f>(Table3[[#This Row],[UMSCI]]-E765)/E765</f>
        <v/>
      </c>
    </row>
  </sheetData>
  <conditionalFormatting sqref="B622:B7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2"/>
  <sheetViews>
    <sheetView zoomScale="110" zoomScaleNormal="110" workbookViewId="0">
      <pane ySplit="6" topLeftCell="A244" activePane="bottomLeft" state="frozen"/>
      <selection activeCell="M746" sqref="M746"/>
      <selection pane="bottomLeft" activeCell="AJ252" sqref="AJ252"/>
    </sheetView>
  </sheetViews>
  <sheetFormatPr baseColWidth="8" defaultColWidth="9.1796875" defaultRowHeight="14.5"/>
  <cols>
    <col width="14.1796875" customWidth="1" style="16" min="1" max="1"/>
    <col width="16" customWidth="1" style="16" min="2" max="4"/>
    <col width="9.1796875" customWidth="1" style="55" min="5" max="36"/>
    <col width="9.1796875" customWidth="1" style="55" min="37"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row r="281">
      <c r="A281" s="28" t="n">
        <v>44866</v>
      </c>
      <c r="B281" s="15">
        <f>VLOOKUP(Table2[[#This Row],[Date]],'DB LEI'!$A:$F,4)</f>
        <v/>
      </c>
      <c r="C281" s="15">
        <f>VLOOKUP(Table2[[#This Row],[Date]],'DB LEI'!$A:$F,5)</f>
        <v/>
      </c>
      <c r="D281" s="15">
        <f>VLOOKUP(Table2[[#This Row],[Date]],'DB LEI'!$A:$F,6)</f>
        <v/>
      </c>
    </row>
    <row r="282">
      <c r="A282" s="28" t="n">
        <v>44896</v>
      </c>
      <c r="B282" s="15">
        <f>VLOOKUP(Table2[[#This Row],[Date]],'DB LEI'!$A:$F,4)</f>
        <v/>
      </c>
      <c r="C282" s="15">
        <f>VLOOKUP(Table2[[#This Row],[Date]],'DB LEI'!$A:$F,5)</f>
        <v/>
      </c>
      <c r="D282" s="15">
        <f>VLOOKUP(Table2[[#This Row],[Date]],'DB LEI'!$A:$F,6)</f>
        <v/>
      </c>
    </row>
  </sheetData>
  <conditionalFormatting sqref="B127:B28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6"/>
  <sheetViews>
    <sheetView zoomScale="110" zoomScaleNormal="110" workbookViewId="0">
      <pane ySplit="6" topLeftCell="A510" activePane="bottomLeft" state="frozen"/>
      <selection activeCell="Q22" sqref="Q22"/>
      <selection pane="bottomLeft" activeCell="AM541" sqref="AM541"/>
    </sheetView>
  </sheetViews>
  <sheetFormatPr baseColWidth="8" defaultColWidth="9.1796875" defaultRowHeight="14.5"/>
  <cols>
    <col width="11.6328125" customWidth="1" style="16" min="1" max="1"/>
    <col width="15" customWidth="1" style="16" min="2" max="4"/>
    <col width="9.1796875" customWidth="1" style="55" min="5" max="36"/>
    <col width="9.1796875" customWidth="1" style="55" min="37"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row r="546">
      <c r="A546" s="25" t="n">
        <v>44896</v>
      </c>
      <c r="B546" s="18">
        <f>VLOOKUP(Table48[[#This Row],[Date]],'DB LEI'!$A:$F,5)</f>
        <v/>
      </c>
      <c r="C546" s="24">
        <f>IF(VLOOKUP(Table48[[#This Row],[Date]],'DB LEI'!$A:$M,13)=0,"",VLOOKUP(Table48[[#This Row],[Date]],'DB LEI'!$A:$M,13))</f>
        <v/>
      </c>
      <c r="D546" s="24">
        <f>IF(VLOOKUP(Table48[[#This Row],[Date]],'DB LEI'!$A:$M,11)=0,"",VLOOKUP(Table48[[#This Row],[Date]],'DB LEI'!$A:$M,11))</f>
        <v/>
      </c>
    </row>
  </sheetData>
  <conditionalFormatting sqref="B391:B5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2022-12-27T12:38:14Z</dcterms:modified>
  <cp:lastModifiedBy>Mark Mukherjee</cp:lastModifiedBy>
</cp:coreProperties>
</file>