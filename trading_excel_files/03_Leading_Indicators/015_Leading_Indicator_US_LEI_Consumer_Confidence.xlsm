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UMCSI!$B$7:$B$285</f>
              <numCache>
                <formatCode>General</formatCode>
                <ptCount val="279"/>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'Conference Board'!$B$10:$B$780</f>
              <numCache>
                <formatCode>0.00</formatCode>
                <ptCount val="771"/>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pt idx="767">
                  <v>110.5</v>
                </pt>
                <pt idx="768">
                  <v>110.3</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pt idx="767">
                  <v>59.7</v>
                </pt>
                <pt idx="768">
                  <v>64.90000000000001</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UMCSI!$B$7:$B$284</f>
              <numCache>
                <formatCode>General</formatCode>
                <ptCount val="27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UMCSI!$C$7:$C$284</f>
              <numCache>
                <formatCode>General</formatCode>
                <ptCount val="27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UMCSI!$D$7:$D$284</f>
              <numCache>
                <formatCode>General</formatCode>
                <ptCount val="27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UMCSI!$C$7:$C$285</f>
              <numCache>
                <formatCode>General</formatCode>
                <ptCount val="279"/>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UMCSI!$B$7:$B$285</f>
              <numCache>
                <formatCode>General</formatCode>
                <ptCount val="279"/>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UMCSI!$D$7:$D$285</f>
              <numCache>
                <formatCode>General</formatCode>
                <ptCount val="279"/>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GDP'!$A$7:$A$549</f>
              <numCache>
                <formatCode>mmm\-yy</formatCode>
                <ptCount val="543"/>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GDP'!$C$7:$C$549</f>
              <numCache>
                <formatCode>0.00%</formatCode>
                <ptCount val="543"/>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0.00906289911102966</v>
                </pt>
                <pt idx="538">
                  <v>0</v>
                </pt>
                <pt idx="539">
                  <v>0</v>
                </pt>
                <pt idx="540">
                  <v>0</v>
                </pt>
                <pt idx="541">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GDP'!$A$7:$A$549</f>
              <numCache>
                <formatCode>mmm\-yy</formatCode>
                <ptCount val="543"/>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GDP'!$B$7:$B$549</f>
              <numCache>
                <formatCode>0.0</formatCode>
                <ptCount val="543"/>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0.006623496989203883</v>
                </pt>
                <pt idx="538">
                  <v>0</v>
                </pt>
                <pt idx="539">
                  <v>0</v>
                </pt>
                <pt idx="540">
                  <v>0</v>
                </pt>
                <pt idx="541">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201085</colOff>
      <row>506</row>
      <rowOff>95249</rowOff>
    </from>
    <to>
      <col>16</col>
      <colOff>402167</colOff>
      <row>531</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184244</colOff>
      <row>532</row>
      <rowOff>91722</rowOff>
    </from>
    <to>
      <col>16</col>
      <colOff>388055</colOff>
      <row>557</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8" headerRowCount="1" totalsRowShown="0" headerRowDxfId="24" dataDxfId="23">
  <autoFilter ref="A9:F778"/>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4" headerRowCount="1" totalsRowShown="0" headerRowDxfId="16" dataDxfId="14" headerRowBorderDxfId="15">
  <autoFilter ref="A6:D284"/>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8" headerRowCount="1" totalsRowShown="0" headerRowDxfId="9" dataDxfId="7" headerRowBorderDxfId="8" tableBorderDxfId="6">
  <autoFilter ref="A6:D548"/>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opLeftCell="B1" zoomScale="80" zoomScaleNormal="80" workbookViewId="0">
      <selection activeCell="N778" sqref="N778"/>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55"/>
    <col width="9.1796875" customWidth="1" style="55" min="56"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44927</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4"/>
  <sheetViews>
    <sheetView zoomScale="110" zoomScaleNormal="110" workbookViewId="0">
      <pane ySplit="1" topLeftCell="A745" activePane="bottomLeft" state="frozen"/>
      <selection activeCell="N778" sqref="N778"/>
      <selection pane="bottomLeft" activeCell="N778" sqref="N778"/>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20187.495</v>
      </c>
      <c r="H760" t="n">
        <v/>
      </c>
      <c r="I760" t="n">
        <v/>
      </c>
      <c r="J760" t="n">
        <v/>
      </c>
      <c r="K760" t="n">
        <v>0.006623496989203883</v>
      </c>
      <c r="L760" t="n">
        <v>0.02675837646577572</v>
      </c>
      <c r="M760" t="n">
        <v>0.00906289911102966</v>
      </c>
    </row>
    <row r="761">
      <c r="A761" s="68" t="n">
        <v>44866</v>
      </c>
      <c r="B761" t="n">
        <v>113.5</v>
      </c>
      <c r="C761" t="n">
        <v>4080.110107421875</v>
      </c>
      <c r="D761" t="n">
        <v>56.8</v>
      </c>
      <c r="E761" t="n">
        <v>58.8</v>
      </c>
      <c r="F761" t="n">
        <v>55.6</v>
      </c>
      <c r="G761" t="n">
        <v/>
      </c>
      <c r="H761" t="n">
        <v/>
      </c>
      <c r="I761" t="n">
        <v/>
      </c>
      <c r="J761" t="n">
        <v/>
      </c>
      <c r="K761" t="n">
        <v/>
      </c>
      <c r="L761" t="n">
        <v/>
      </c>
      <c r="M761" t="n">
        <v/>
      </c>
    </row>
    <row r="762">
      <c r="A762" s="68" t="n">
        <v>44896</v>
      </c>
      <c r="B762" t="n">
        <v>110.5</v>
      </c>
      <c r="C762" t="n">
        <v>3839.5</v>
      </c>
      <c r="D762" t="n">
        <v>59.7</v>
      </c>
      <c r="E762" t="n">
        <v>59.4</v>
      </c>
      <c r="F762" t="n">
        <v>59.9</v>
      </c>
      <c r="G762" t="n">
        <v/>
      </c>
      <c r="H762" t="n">
        <v/>
      </c>
      <c r="I762" t="n">
        <v/>
      </c>
      <c r="J762" t="n">
        <v/>
      </c>
      <c r="K762" t="n">
        <v/>
      </c>
      <c r="L762" t="n">
        <v/>
      </c>
      <c r="M762" t="n">
        <v/>
      </c>
    </row>
    <row r="763">
      <c r="A763" s="68" t="n">
        <v>44927</v>
      </c>
      <c r="B763" t="n">
        <v>110.3</v>
      </c>
      <c r="C763" t="n">
        <v>4076.60009765625</v>
      </c>
      <c r="D763" t="n">
        <v>64.90000000000001</v>
      </c>
      <c r="E763" t="n">
        <v>68.40000000000001</v>
      </c>
      <c r="F763" t="n">
        <v>62.7</v>
      </c>
      <c r="G763" t="n">
        <v/>
      </c>
      <c r="H763" t="n">
        <v/>
      </c>
      <c r="I763" t="n">
        <v/>
      </c>
      <c r="J763" t="n">
        <v/>
      </c>
      <c r="K763" t="n">
        <v/>
      </c>
      <c r="L763" t="n">
        <v/>
      </c>
      <c r="M763" t="n">
        <v/>
      </c>
    </row>
    <row r="764">
      <c r="A764" s="68" t="n">
        <v>44958</v>
      </c>
      <c r="B764" t="n">
        <v>110</v>
      </c>
      <c r="C764" t="n">
        <v>3970.14990234375</v>
      </c>
      <c r="D764" t="n">
        <v>67</v>
      </c>
      <c r="E764" t="n">
        <v>70.7</v>
      </c>
      <c r="F764" t="n">
        <v>64.7</v>
      </c>
      <c r="G764" t="n">
        <v/>
      </c>
      <c r="H764" t="n">
        <v/>
      </c>
      <c r="I764" t="n">
        <v/>
      </c>
      <c r="J764" t="n">
        <v/>
      </c>
      <c r="K764" t="n">
        <v/>
      </c>
      <c r="L764" t="n">
        <v/>
      </c>
      <c r="M764" t="n">
        <v/>
      </c>
    </row>
  </sheetData>
  <pageMargins left="0.7" right="0.7" top="0.75" bottom="0.75" header="0.3" footer="0.3"/>
</worksheet>
</file>

<file path=xl/worksheets/sheet3.xml><?xml version="1.0" encoding="utf-8"?>
<worksheet xmlns="http://schemas.openxmlformats.org/spreadsheetml/2006/main">
  <sheetPr>
    <tabColor rgb="FFFFC000"/>
    <outlinePr summaryBelow="1" summaryRight="1"/>
    <pageSetUpPr/>
  </sheetPr>
  <dimension ref="A1:F778"/>
  <sheetViews>
    <sheetView zoomScale="60" zoomScaleNormal="60" workbookViewId="0">
      <pane ySplit="9" topLeftCell="A749" activePane="bottomLeft" state="frozen"/>
      <selection activeCell="H751" sqref="H751"/>
      <selection pane="bottomLeft" activeCell="A773" sqref="A773:F778"/>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46"/>
    <col width="9.1796875" customWidth="1" style="55" min="47"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row r="777">
      <c r="A777" s="6" t="n">
        <v>44896</v>
      </c>
      <c r="B777" s="2">
        <f>VLOOKUP(Table3[[#This Row],[Date]],'DB LEI'!$A:$F,2)</f>
        <v/>
      </c>
      <c r="C777" s="4">
        <f>(Table3[[#This Row],[Conference Board Leading Indicator]]-B765)/B765</f>
        <v/>
      </c>
      <c r="D777" s="3">
        <f>IF(VLOOKUP(Table3[[#This Row],[Date]],'DB LEI'!$A:$I,9)=0,"",VLOOKUP(Table3[[#This Row],[Date]],'DB LEI'!$A:$I,9))</f>
        <v/>
      </c>
      <c r="E777" s="2">
        <f>VLOOKUP(Table3[[#This Row],[Date]],'DB LEI'!$A:$F,4)</f>
        <v/>
      </c>
      <c r="F777" s="4">
        <f>(Table3[[#This Row],[UMSCI]]-E766)/E766</f>
        <v/>
      </c>
    </row>
    <row r="778">
      <c r="A778" s="6" t="n">
        <v>44927</v>
      </c>
      <c r="B778" s="2">
        <f>VLOOKUP(Table3[[#This Row],[Date]],'DB LEI'!$A:$F,2)</f>
        <v/>
      </c>
      <c r="C778" s="4">
        <f>(Table3[[#This Row],[Conference Board Leading Indicator]]-B766)/B766</f>
        <v/>
      </c>
      <c r="D778" s="3">
        <f>IF(VLOOKUP(Table3[[#This Row],[Date]],'DB LEI'!$A:$I,9)=0,"",VLOOKUP(Table3[[#This Row],[Date]],'DB LEI'!$A:$I,9))</f>
        <v/>
      </c>
      <c r="E778" s="2">
        <f>VLOOKUP(Table3[[#This Row],[Date]],'DB LEI'!$A:$F,4)</f>
        <v/>
      </c>
      <c r="F778" s="4">
        <f>(Table3[[#This Row],[UMSCI]]-E767)/E767</f>
        <v/>
      </c>
    </row>
  </sheetData>
  <conditionalFormatting sqref="B622:B7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4"/>
  <sheetViews>
    <sheetView zoomScale="70" zoomScaleNormal="70" workbookViewId="0">
      <pane ySplit="6" topLeftCell="A248" activePane="bottomLeft" state="frozen"/>
      <selection activeCell="M746" sqref="M746"/>
      <selection pane="bottomLeft" activeCell="A276" sqref="A276:D284"/>
    </sheetView>
  </sheetViews>
  <sheetFormatPr baseColWidth="8" defaultColWidth="9.1796875" defaultRowHeight="14.5"/>
  <cols>
    <col width="14.1796875" customWidth="1" style="16" min="1" max="1"/>
    <col width="16" customWidth="1" style="16" min="2" max="4"/>
    <col width="9.1796875" customWidth="1" style="55" min="5" max="44"/>
    <col width="9.1796875" customWidth="1" style="55" min="45"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row r="283">
      <c r="A283" s="28" t="n">
        <v>44927</v>
      </c>
      <c r="B283" s="15">
        <f>VLOOKUP(Table2[[#This Row],[Date]],'DB LEI'!$A:$F,4)</f>
        <v/>
      </c>
      <c r="C283" s="15">
        <f>VLOOKUP(Table2[[#This Row],[Date]],'DB LEI'!$A:$F,5)</f>
        <v/>
      </c>
      <c r="D283" s="15">
        <f>VLOOKUP(Table2[[#This Row],[Date]],'DB LEI'!$A:$F,6)</f>
        <v/>
      </c>
    </row>
    <row r="284">
      <c r="A284" s="28" t="n">
        <v>44958</v>
      </c>
      <c r="B284" s="15">
        <f>VLOOKUP(Table2[[#This Row],[Date]],'DB LEI'!$A:$F,4)</f>
        <v/>
      </c>
      <c r="C284" s="15">
        <f>VLOOKUP(Table2[[#This Row],[Date]],'DB LEI'!$A:$F,5)</f>
        <v/>
      </c>
      <c r="D284" s="15">
        <f>VLOOKUP(Table2[[#This Row],[Date]],'DB LEI'!$A:$F,6)</f>
        <v/>
      </c>
    </row>
  </sheetData>
  <conditionalFormatting sqref="B127:B28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8"/>
  <sheetViews>
    <sheetView tabSelected="1" zoomScale="60" zoomScaleNormal="60" workbookViewId="0">
      <pane ySplit="6" topLeftCell="A510" activePane="bottomLeft" state="frozen"/>
      <selection activeCell="N778" sqref="N778"/>
      <selection pane="bottomLeft" activeCell="AC533" sqref="AC533"/>
    </sheetView>
  </sheetViews>
  <sheetFormatPr baseColWidth="8" defaultColWidth="9.1796875" defaultRowHeight="14.5"/>
  <cols>
    <col width="11.6328125" customWidth="1" style="16" min="1" max="1"/>
    <col width="15" customWidth="1" style="16" min="2" max="4"/>
    <col width="9.1796875" customWidth="1" style="55" min="5" max="44"/>
    <col width="9.1796875" customWidth="1" style="55" min="45"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row r="547">
      <c r="A547" s="25" t="n">
        <v>44927</v>
      </c>
      <c r="B547" s="18">
        <f>VLOOKUP(Table48[[#This Row],[Date]],'DB LEI'!$A:$F,5)</f>
        <v/>
      </c>
      <c r="C547" s="24">
        <f>IF(VLOOKUP(Table48[[#This Row],[Date]],'DB LEI'!$A:$M,13)=0,"",VLOOKUP(Table48[[#This Row],[Date]],'DB LEI'!$A:$M,13))</f>
        <v/>
      </c>
      <c r="D547" s="24">
        <f>IF(VLOOKUP(Table48[[#This Row],[Date]],'DB LEI'!$A:$M,11)=0,"",VLOOKUP(Table48[[#This Row],[Date]],'DB LEI'!$A:$M,11))</f>
        <v/>
      </c>
    </row>
    <row r="548">
      <c r="A548" s="25" t="n">
        <v>44958</v>
      </c>
      <c r="B548" s="18">
        <f>VLOOKUP(Table48[[#This Row],[Date]],'DB LEI'!$A:$F,5)</f>
        <v/>
      </c>
      <c r="C548" s="24">
        <f>IF(VLOOKUP(Table48[[#This Row],[Date]],'DB LEI'!$A:$M,13)=0,"",VLOOKUP(Table48[[#This Row],[Date]],'DB LEI'!$A:$M,13))</f>
        <v/>
      </c>
      <c r="D548" s="24">
        <f>IF(VLOOKUP(Table48[[#This Row],[Date]],'DB LEI'!$A:$M,11)=0,"",VLOOKUP(Table48[[#This Row],[Date]],'DB LEI'!$A:$M,11))</f>
        <v/>
      </c>
    </row>
  </sheetData>
  <conditionalFormatting sqref="B391:B5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2023-03-04T18:38:18Z</dcterms:modified>
  <cp:lastModifiedBy>Mark Mukherjee</cp:lastModifiedBy>
</cp:coreProperties>
</file>