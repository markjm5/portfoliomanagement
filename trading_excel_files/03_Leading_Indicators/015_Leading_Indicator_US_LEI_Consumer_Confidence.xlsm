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15290" yWindow="-14510" windowWidth="34620" windowHeight="139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cent" xfId="1" builtinId="5"/>
    <cellStyle name="Hyperlink" xfId="2" builtinId="8"/>
    <cellStyle name="Normal 3" xfId="3"/>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UMCSI!$A$7:$A$285</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UMCSI!$B$7:$B$285</f>
              <numCache>
                <formatCode>General</formatCode>
                <ptCount val="279"/>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pt idx="277">
                  <v>67</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numCache>
            </numRef>
          </cat>
          <val>
            <numRef>
              <f>'Conference Board'!$B$10:$B$780</f>
              <numCache>
                <formatCode>0.00</formatCode>
                <ptCount val="771"/>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pt idx="765">
                  <v>114.9</v>
                </pt>
                <pt idx="766">
                  <v>113.5</v>
                </pt>
                <pt idx="767">
                  <v>110.5</v>
                </pt>
                <pt idx="768">
                  <v>110.3</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pt idx="768">
                  <v>44927</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pt idx="765">
                  <v>59.9</v>
                </pt>
                <pt idx="766">
                  <v>56.8</v>
                </pt>
                <pt idx="767">
                  <v>59.7</v>
                </pt>
                <pt idx="768">
                  <v>64.90000000000001</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UMCSI!$A$7:$A$284</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UMCSI!$B$7:$B$284</f>
              <numCache>
                <formatCode>General</formatCode>
                <ptCount val="27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pt idx="277">
                  <v>67</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UMCSI!$A$7:$A$284</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UMCSI!$C$7:$C$284</f>
              <numCache>
                <formatCode>General</formatCode>
                <ptCount val="27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pt idx="276">
                  <v>68.40000000000001</v>
                </pt>
                <pt idx="277">
                  <v>70.7</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UMCSI!$A$7:$A$284</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UMCSI!$D$7:$D$284</f>
              <numCache>
                <formatCode>General</formatCode>
                <ptCount val="27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pt idx="276">
                  <v>62.7</v>
                </pt>
                <pt idx="277">
                  <v>64.7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UMCSI!$A$7:$A$285</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UMCSI!$C$7:$C$285</f>
              <numCache>
                <formatCode>General</formatCode>
                <ptCount val="279"/>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pt idx="274">
                  <v>58.8</v>
                </pt>
                <pt idx="275">
                  <v>59.4</v>
                </pt>
                <pt idx="276">
                  <v>68.40000000000001</v>
                </pt>
                <pt idx="277">
                  <v>70.7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UMCSI!$A$7:$A$285</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UMCSI!$B$7:$B$285</f>
              <numCache>
                <formatCode>General</formatCode>
                <ptCount val="279"/>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pt idx="274">
                  <v>56.8</v>
                </pt>
                <pt idx="275">
                  <v>59.7</v>
                </pt>
                <pt idx="276">
                  <v>64.90000000000001</v>
                </pt>
                <pt idx="277">
                  <v>67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UMCSI!$A$7:$A$285</f>
              <numCache>
                <formatCode>m/d/yyyy</formatCode>
                <ptCount val="27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numCache>
            </numRef>
          </cat>
          <val>
            <numRef>
              <f>UMCSI!$D$7:$D$285</f>
              <numCache>
                <formatCode>General</formatCode>
                <ptCount val="279"/>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pt idx="274">
                  <v>55.6</v>
                </pt>
                <pt idx="275">
                  <v>59.9</v>
                </pt>
                <pt idx="276">
                  <v>62.7</v>
                </pt>
                <pt idx="277">
                  <v>64.7</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GDP'!$A$7:$A$549</f>
              <numCache>
                <formatCode>mmm\-yy</formatCode>
                <ptCount val="543"/>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numCache>
            </numRef>
          </cat>
          <val>
            <numRef>
              <f>'UMCSI vs GDP'!$C$7:$C$549</f>
              <numCache>
                <formatCode>0.00%</formatCode>
                <ptCount val="543"/>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0.01942138388053957</v>
                </pt>
                <pt idx="535">
                  <v>0</v>
                </pt>
                <pt idx="536">
                  <v>0</v>
                </pt>
                <pt idx="537">
                  <v>0.00906289911102966</v>
                </pt>
                <pt idx="538">
                  <v>0</v>
                </pt>
                <pt idx="539">
                  <v>0</v>
                </pt>
                <pt idx="540">
                  <v>0</v>
                </pt>
                <pt idx="541">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GDP'!$A$7:$A$549</f>
              <numCache>
                <formatCode>mmm\-yy</formatCode>
                <ptCount val="543"/>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numCache>
            </numRef>
          </cat>
          <val>
            <numRef>
              <f>'UMCSI vs GDP'!$B$7:$B$549</f>
              <numCache>
                <formatCode>0.0</formatCode>
                <ptCount val="543"/>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pt idx="540">
                  <v>68.40000000000001</v>
                </pt>
                <pt idx="541">
                  <v>70.7</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0.008011552091951892</v>
                </pt>
                <pt idx="535">
                  <v>0</v>
                </pt>
                <pt idx="536">
                  <v>0</v>
                </pt>
                <pt idx="537">
                  <v>0.006623496989203883</v>
                </pt>
                <pt idx="538">
                  <v>0</v>
                </pt>
                <pt idx="539">
                  <v>0</v>
                </pt>
                <pt idx="540">
                  <v>0</v>
                </pt>
                <pt idx="541">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pt idx="538">
                  <v>44866</v>
                </pt>
                <pt idx="539">
                  <v>44896</v>
                </pt>
                <pt idx="540">
                  <v>44927</v>
                </pt>
                <pt idx="541">
                  <v>44958</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pt idx="538">
                  <v>58.8</v>
                </pt>
                <pt idx="539">
                  <v>59.4</v>
                </pt>
                <pt idx="540">
                  <v>68.40000000000001</v>
                </pt>
                <pt idx="541">
                  <v>70.7</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238125</colOff>
      <row>749</row>
      <rowOff>152399</rowOff>
    </from>
    <to>
      <col>20</col>
      <colOff>142875</colOff>
      <row>779</row>
      <rowOff>174624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459316</colOff>
      <row>248</row>
      <rowOff>4233</rowOff>
    </from>
    <to>
      <col>13</col>
      <colOff>440267</colOff>
      <row>264</row>
      <rowOff>147109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12</col>
      <colOff>113242</colOff>
      <row>265</row>
      <rowOff>155575</rowOff>
    </from>
    <to>
      <col>19</col>
      <colOff>208493</colOff>
      <row>282</row>
      <rowOff>103717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455084</colOff>
      <row>265</row>
      <rowOff>155575</rowOff>
    </from>
    <to>
      <col>12</col>
      <colOff>8466</colOff>
      <row>282</row>
      <rowOff>103717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283634</colOff>
      <row>265</row>
      <rowOff>146050</rowOff>
    </from>
    <to>
      <col>26</col>
      <colOff>378883</colOff>
      <row>282</row>
      <rowOff>85726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201085</colOff>
      <row>506</row>
      <rowOff>95249</rowOff>
    </from>
    <to>
      <col>16</col>
      <colOff>402167</colOff>
      <row>531</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184244</colOff>
      <row>532</row>
      <rowOff>91722</rowOff>
    </from>
    <to>
      <col>16</col>
      <colOff>388055</colOff>
      <row>557</row>
      <rowOff>84667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8" headerRowCount="1" totalsRowShown="0" headerRowDxfId="24" dataDxfId="23">
  <autoFilter ref="A9:F778"/>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4" headerRowCount="1" totalsRowShown="0" headerRowDxfId="16" dataDxfId="14" headerRowBorderDxfId="15">
  <autoFilter ref="A6:D284"/>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8" headerRowCount="1" totalsRowShown="0" headerRowDxfId="9" dataDxfId="7" headerRowBorderDxfId="8" tableBorderDxfId="6">
  <autoFilter ref="A6:D548"/>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LEI'!$A:$M,13)=0,"",VLOOKUP(Table48[[#This Row],[Date]],'DB LEI'!$A:$M,13))</calculatedColumnFormula>
    </tableColumn>
    <tableColumn id="4"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topLeftCell="B1" zoomScale="80" zoomScaleNormal="80" workbookViewId="0">
      <selection activeCell="N778" sqref="N778"/>
    </sheetView>
  </sheetViews>
  <sheetFormatPr baseColWidth="8" defaultColWidth="9.1796875" defaultRowHeight="14.5"/>
  <cols>
    <col width="9.1796875" customWidth="1" style="55" min="1" max="1"/>
    <col width="12.81640625" customWidth="1" style="55" min="2" max="9"/>
    <col width="18.81640625" customWidth="1" style="55" min="10" max="10"/>
    <col width="3.36328125" customWidth="1" style="55" min="11" max="12"/>
    <col width="21.36328125" customWidth="1" style="55" min="13" max="13"/>
    <col width="10.6328125" bestFit="1" customWidth="1" style="55" min="14" max="15"/>
    <col width="9.1796875" customWidth="1" style="55" min="16" max="55"/>
    <col width="9.1796875" customWidth="1" style="55" min="56"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44927</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4"/>
  <sheetViews>
    <sheetView zoomScale="110" zoomScaleNormal="110" workbookViewId="0">
      <pane ySplit="1" topLeftCell="A745" activePane="bottomLeft" state="frozen"/>
      <selection activeCell="N778" sqref="N778"/>
      <selection pane="bottomLeft" activeCell="N778" sqref="N778"/>
    </sheetView>
  </sheetViews>
  <sheetFormatPr baseColWidth="8" defaultColWidth="10.90625" defaultRowHeight="14.5"/>
  <cols>
    <col width="18.816406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117.1</v>
      </c>
      <c r="C756" t="n">
        <v>3785.3798828125</v>
      </c>
      <c r="D756" t="n">
        <v>50</v>
      </c>
      <c r="E756" t="n">
        <v>53.8</v>
      </c>
      <c r="F756" t="n">
        <v>47.5</v>
      </c>
      <c r="G756" t="n">
        <v/>
      </c>
      <c r="H756" t="n">
        <v/>
      </c>
      <c r="I756" t="n">
        <v/>
      </c>
      <c r="J756" t="n">
        <v/>
      </c>
      <c r="K756" t="n">
        <v/>
      </c>
      <c r="L756" t="n">
        <v/>
      </c>
      <c r="M756" t="n">
        <v/>
      </c>
    </row>
    <row r="757">
      <c r="A757" s="68" t="n">
        <v>44743</v>
      </c>
      <c r="B757" t="n">
        <v>116.6</v>
      </c>
      <c r="C757" t="n">
        <v>4130.2900390625</v>
      </c>
      <c r="D757" t="n">
        <v>51.5</v>
      </c>
      <c r="E757" t="n">
        <v>58.1</v>
      </c>
      <c r="F757" t="n">
        <v>47.3</v>
      </c>
      <c r="G757" t="n">
        <v>20054.663</v>
      </c>
      <c r="H757" t="n">
        <v/>
      </c>
      <c r="I757" t="n">
        <v/>
      </c>
      <c r="J757" t="n">
        <v/>
      </c>
      <c r="K757" t="n">
        <v>0.008011552091951892</v>
      </c>
      <c r="L757" t="n">
        <v>0.03243337917387401</v>
      </c>
      <c r="M757" t="n">
        <v>0.01942138388053957</v>
      </c>
    </row>
    <row r="758">
      <c r="A758" s="68" t="n">
        <v>44774</v>
      </c>
      <c r="B758" t="n">
        <v>116.2</v>
      </c>
      <c r="C758" t="n">
        <v>3955</v>
      </c>
      <c r="D758" t="n">
        <v>58.2</v>
      </c>
      <c r="E758" t="n">
        <v>58.6</v>
      </c>
      <c r="F758" t="n">
        <v>58</v>
      </c>
      <c r="G758" t="n">
        <v/>
      </c>
      <c r="H758" t="n">
        <v/>
      </c>
      <c r="I758" t="n">
        <v/>
      </c>
      <c r="J758" t="n">
        <v/>
      </c>
      <c r="K758" t="n">
        <v/>
      </c>
      <c r="L758" t="n">
        <v/>
      </c>
      <c r="M758" t="n">
        <v/>
      </c>
    </row>
    <row r="759">
      <c r="A759" s="68" t="n">
        <v>44805</v>
      </c>
      <c r="B759" t="n">
        <v>115.9</v>
      </c>
      <c r="C759" t="n">
        <v>3585.6201171875</v>
      </c>
      <c r="D759" t="n">
        <v>58.6</v>
      </c>
      <c r="E759" t="n">
        <v>59.7</v>
      </c>
      <c r="F759" t="n">
        <v>58</v>
      </c>
      <c r="G759" t="n">
        <v/>
      </c>
      <c r="H759" t="n">
        <v/>
      </c>
      <c r="I759" t="n">
        <v/>
      </c>
      <c r="J759" t="n">
        <v/>
      </c>
      <c r="K759" t="n">
        <v/>
      </c>
      <c r="L759" t="n">
        <v/>
      </c>
      <c r="M759" t="n">
        <v/>
      </c>
    </row>
    <row r="760">
      <c r="A760" s="68" t="n">
        <v>44835</v>
      </c>
      <c r="B760" t="n">
        <v>114.9</v>
      </c>
      <c r="C760" t="n">
        <v>3871.97998046875</v>
      </c>
      <c r="D760" t="n">
        <v>59.9</v>
      </c>
      <c r="E760" t="n">
        <v>65.59999999999999</v>
      </c>
      <c r="F760" t="n">
        <v>56.2</v>
      </c>
      <c r="G760" t="n">
        <v>20187.495</v>
      </c>
      <c r="H760" t="n">
        <v/>
      </c>
      <c r="I760" t="n">
        <v/>
      </c>
      <c r="J760" t="n">
        <v/>
      </c>
      <c r="K760" t="n">
        <v>0.006623496989203883</v>
      </c>
      <c r="L760" t="n">
        <v>0.02675837646577572</v>
      </c>
      <c r="M760" t="n">
        <v>0.00906289911102966</v>
      </c>
    </row>
    <row r="761">
      <c r="A761" s="68" t="n">
        <v>44866</v>
      </c>
      <c r="B761" t="n">
        <v>113.5</v>
      </c>
      <c r="C761" t="n">
        <v>4080.110107421875</v>
      </c>
      <c r="D761" t="n">
        <v>56.8</v>
      </c>
      <c r="E761" t="n">
        <v>58.8</v>
      </c>
      <c r="F761" t="n">
        <v>55.6</v>
      </c>
      <c r="G761" t="n">
        <v/>
      </c>
      <c r="H761" t="n">
        <v/>
      </c>
      <c r="I761" t="n">
        <v/>
      </c>
      <c r="J761" t="n">
        <v/>
      </c>
      <c r="K761" t="n">
        <v/>
      </c>
      <c r="L761" t="n">
        <v/>
      </c>
      <c r="M761" t="n">
        <v/>
      </c>
    </row>
    <row r="762">
      <c r="A762" s="68" t="n">
        <v>44896</v>
      </c>
      <c r="B762" t="n">
        <v>110.5</v>
      </c>
      <c r="C762" t="n">
        <v>3839.5</v>
      </c>
      <c r="D762" t="n">
        <v>59.7</v>
      </c>
      <c r="E762" t="n">
        <v>59.4</v>
      </c>
      <c r="F762" t="n">
        <v>59.9</v>
      </c>
      <c r="G762" t="n">
        <v/>
      </c>
      <c r="H762" t="n">
        <v/>
      </c>
      <c r="I762" t="n">
        <v/>
      </c>
      <c r="J762" t="n">
        <v/>
      </c>
      <c r="K762" t="n">
        <v/>
      </c>
      <c r="L762" t="n">
        <v/>
      </c>
      <c r="M762" t="n">
        <v/>
      </c>
    </row>
    <row r="763">
      <c r="A763" s="68" t="n">
        <v>44927</v>
      </c>
      <c r="B763" t="n">
        <v>110.3</v>
      </c>
      <c r="C763" t="n">
        <v>4076.60009765625</v>
      </c>
      <c r="D763" t="n">
        <v>64.90000000000001</v>
      </c>
      <c r="E763" t="n">
        <v>68.40000000000001</v>
      </c>
      <c r="F763" t="n">
        <v>62.7</v>
      </c>
      <c r="G763" t="n">
        <v/>
      </c>
      <c r="H763" t="n">
        <v/>
      </c>
      <c r="I763" t="n">
        <v/>
      </c>
      <c r="J763" t="n">
        <v/>
      </c>
      <c r="K763" t="n">
        <v/>
      </c>
      <c r="L763" t="n">
        <v/>
      </c>
      <c r="M763" t="n">
        <v/>
      </c>
    </row>
    <row r="764">
      <c r="A764" s="68" t="n">
        <v>44958</v>
      </c>
      <c r="B764" t="n">
        <v/>
      </c>
      <c r="C764" t="n">
        <v>3970.14990234375</v>
      </c>
      <c r="D764" t="n">
        <v>67</v>
      </c>
      <c r="E764" t="n">
        <v>70.7</v>
      </c>
      <c r="F764" t="n">
        <v>64.7</v>
      </c>
      <c r="G764" t="n">
        <v/>
      </c>
      <c r="H764" t="n">
        <v/>
      </c>
      <c r="I764" t="n">
        <v/>
      </c>
      <c r="J764" t="n">
        <v/>
      </c>
      <c r="K764" t="n">
        <v/>
      </c>
      <c r="L764" t="n">
        <v/>
      </c>
      <c r="M764" t="n">
        <v/>
      </c>
    </row>
  </sheetData>
  <pageMargins left="0.7" right="0.7" top="0.75" bottom="0.75" header="0.3" footer="0.3"/>
</worksheet>
</file>

<file path=xl/worksheets/sheet3.xml><?xml version="1.0" encoding="utf-8"?>
<worksheet xmlns="http://schemas.openxmlformats.org/spreadsheetml/2006/main">
  <sheetPr>
    <tabColor rgb="FFFFC000"/>
    <outlinePr summaryBelow="1" summaryRight="1"/>
    <pageSetUpPr/>
  </sheetPr>
  <dimension ref="A1:F778"/>
  <sheetViews>
    <sheetView zoomScale="60" zoomScaleNormal="60" workbookViewId="0">
      <pane ySplit="9" topLeftCell="A749" activePane="bottomLeft" state="frozen"/>
      <selection activeCell="H751" sqref="H751"/>
      <selection pane="bottomLeft" activeCell="A773" sqref="A773:F778"/>
    </sheetView>
  </sheetViews>
  <sheetFormatPr baseColWidth="8" defaultColWidth="9.1796875" defaultRowHeight="14.5"/>
  <cols>
    <col width="11.36328125" customWidth="1" style="16" min="1" max="1"/>
    <col width="13.6328125" customWidth="1" style="2" min="2" max="2"/>
    <col width="13.6328125" customWidth="1" style="16" min="3" max="3"/>
    <col width="13.6328125" customWidth="1" style="3" min="4" max="4"/>
    <col width="13.6328125" customWidth="1" style="2" min="5" max="5"/>
    <col width="13.6328125" customWidth="1" style="16" min="6" max="6"/>
    <col width="9.1796875" customWidth="1" style="55" min="7" max="46"/>
    <col width="9.1796875" customWidth="1" style="55" min="47"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row r="775">
      <c r="A775" s="6" t="n">
        <v>44835</v>
      </c>
      <c r="B775" s="2">
        <f>VLOOKUP(Table3[[#This Row],[Date]],'DB LEI'!$A:$F,2)</f>
        <v/>
      </c>
      <c r="C775" s="4">
        <f>(Table3[[#This Row],[Conference Board Leading Indicator]]-B763)/B763</f>
        <v/>
      </c>
      <c r="D775" s="3">
        <f>IF(VLOOKUP(Table3[[#This Row],[Date]],'DB LEI'!$A:$I,9)=0,"",VLOOKUP(Table3[[#This Row],[Date]],'DB LEI'!$A:$I,9))</f>
        <v/>
      </c>
      <c r="E775" s="2">
        <f>VLOOKUP(Table3[[#This Row],[Date]],'DB LEI'!$A:$F,4)</f>
        <v/>
      </c>
      <c r="F775" s="4">
        <f>(Table3[[#This Row],[UMSCI]]-E764)/E764</f>
        <v/>
      </c>
    </row>
    <row r="776">
      <c r="A776" s="6" t="n">
        <v>44866</v>
      </c>
      <c r="B776" s="2">
        <f>VLOOKUP(Table3[[#This Row],[Date]],'DB LEI'!$A:$F,2)</f>
        <v/>
      </c>
      <c r="C776" s="4">
        <f>(Table3[[#This Row],[Conference Board Leading Indicator]]-B764)/B764</f>
        <v/>
      </c>
      <c r="D776" s="3">
        <f>IF(VLOOKUP(Table3[[#This Row],[Date]],'DB LEI'!$A:$I,9)=0,"",VLOOKUP(Table3[[#This Row],[Date]],'DB LEI'!$A:$I,9))</f>
        <v/>
      </c>
      <c r="E776" s="2">
        <f>VLOOKUP(Table3[[#This Row],[Date]],'DB LEI'!$A:$F,4)</f>
        <v/>
      </c>
      <c r="F776" s="4">
        <f>(Table3[[#This Row],[UMSCI]]-E765)/E765</f>
        <v/>
      </c>
    </row>
    <row r="777">
      <c r="A777" s="6" t="n">
        <v>44896</v>
      </c>
      <c r="B777" s="2">
        <f>VLOOKUP(Table3[[#This Row],[Date]],'DB LEI'!$A:$F,2)</f>
        <v/>
      </c>
      <c r="C777" s="4">
        <f>(Table3[[#This Row],[Conference Board Leading Indicator]]-B765)/B765</f>
        <v/>
      </c>
      <c r="D777" s="3">
        <f>IF(VLOOKUP(Table3[[#This Row],[Date]],'DB LEI'!$A:$I,9)=0,"",VLOOKUP(Table3[[#This Row],[Date]],'DB LEI'!$A:$I,9))</f>
        <v/>
      </c>
      <c r="E777" s="2">
        <f>VLOOKUP(Table3[[#This Row],[Date]],'DB LEI'!$A:$F,4)</f>
        <v/>
      </c>
      <c r="F777" s="4">
        <f>(Table3[[#This Row],[UMSCI]]-E766)/E766</f>
        <v/>
      </c>
    </row>
    <row r="778">
      <c r="A778" s="6" t="n">
        <v>44927</v>
      </c>
      <c r="B778" s="2">
        <f>VLOOKUP(Table3[[#This Row],[Date]],'DB LEI'!$A:$F,2)</f>
        <v/>
      </c>
      <c r="C778" s="4">
        <f>(Table3[[#This Row],[Conference Board Leading Indicator]]-B766)/B766</f>
        <v/>
      </c>
      <c r="D778" s="3">
        <f>IF(VLOOKUP(Table3[[#This Row],[Date]],'DB LEI'!$A:$I,9)=0,"",VLOOKUP(Table3[[#This Row],[Date]],'DB LEI'!$A:$I,9))</f>
        <v/>
      </c>
      <c r="E778" s="2">
        <f>VLOOKUP(Table3[[#This Row],[Date]],'DB LEI'!$A:$F,4)</f>
        <v/>
      </c>
      <c r="F778" s="4">
        <f>(Table3[[#This Row],[UMSCI]]-E767)/E767</f>
        <v/>
      </c>
    </row>
  </sheetData>
  <conditionalFormatting sqref="B622:B77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4"/>
  <sheetViews>
    <sheetView zoomScale="70" zoomScaleNormal="70" workbookViewId="0">
      <pane ySplit="6" topLeftCell="A248" activePane="bottomLeft" state="frozen"/>
      <selection activeCell="M746" sqref="M746"/>
      <selection pane="bottomLeft" activeCell="A276" sqref="A276:D284"/>
    </sheetView>
  </sheetViews>
  <sheetFormatPr baseColWidth="8" defaultColWidth="9.1796875" defaultRowHeight="14.5"/>
  <cols>
    <col width="14.1796875" customWidth="1" style="16" min="1" max="1"/>
    <col width="16" customWidth="1" style="16" min="2" max="4"/>
    <col width="9.1796875" customWidth="1" style="55" min="5" max="44"/>
    <col width="9.1796875" customWidth="1" style="55" min="45"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row r="281">
      <c r="A281" s="28" t="n">
        <v>44866</v>
      </c>
      <c r="B281" s="15">
        <f>VLOOKUP(Table2[[#This Row],[Date]],'DB LEI'!$A:$F,4)</f>
        <v/>
      </c>
      <c r="C281" s="15">
        <f>VLOOKUP(Table2[[#This Row],[Date]],'DB LEI'!$A:$F,5)</f>
        <v/>
      </c>
      <c r="D281" s="15">
        <f>VLOOKUP(Table2[[#This Row],[Date]],'DB LEI'!$A:$F,6)</f>
        <v/>
      </c>
    </row>
    <row r="282">
      <c r="A282" s="28" t="n">
        <v>44896</v>
      </c>
      <c r="B282" s="15">
        <f>VLOOKUP(Table2[[#This Row],[Date]],'DB LEI'!$A:$F,4)</f>
        <v/>
      </c>
      <c r="C282" s="15">
        <f>VLOOKUP(Table2[[#This Row],[Date]],'DB LEI'!$A:$F,5)</f>
        <v/>
      </c>
      <c r="D282" s="15">
        <f>VLOOKUP(Table2[[#This Row],[Date]],'DB LEI'!$A:$F,6)</f>
        <v/>
      </c>
    </row>
    <row r="283">
      <c r="A283" s="28" t="n">
        <v>44927</v>
      </c>
      <c r="B283" s="15">
        <f>VLOOKUP(Table2[[#This Row],[Date]],'DB LEI'!$A:$F,4)</f>
        <v/>
      </c>
      <c r="C283" s="15">
        <f>VLOOKUP(Table2[[#This Row],[Date]],'DB LEI'!$A:$F,5)</f>
        <v/>
      </c>
      <c r="D283" s="15">
        <f>VLOOKUP(Table2[[#This Row],[Date]],'DB LEI'!$A:$F,6)</f>
        <v/>
      </c>
    </row>
    <row r="284">
      <c r="A284" s="28" t="n">
        <v>44958</v>
      </c>
      <c r="B284" s="15">
        <f>VLOOKUP(Table2[[#This Row],[Date]],'DB LEI'!$A:$F,4)</f>
        <v/>
      </c>
      <c r="C284" s="15">
        <f>VLOOKUP(Table2[[#This Row],[Date]],'DB LEI'!$A:$F,5)</f>
        <v/>
      </c>
      <c r="D284" s="15">
        <f>VLOOKUP(Table2[[#This Row],[Date]],'DB LEI'!$A:$F,6)</f>
        <v/>
      </c>
    </row>
  </sheetData>
  <conditionalFormatting sqref="B127:B28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8"/>
  <sheetViews>
    <sheetView tabSelected="1" zoomScale="60" zoomScaleNormal="60" workbookViewId="0">
      <pane ySplit="6" topLeftCell="A510" activePane="bottomLeft" state="frozen"/>
      <selection activeCell="N778" sqref="N778"/>
      <selection pane="bottomLeft" activeCell="AC533" sqref="AC533"/>
    </sheetView>
  </sheetViews>
  <sheetFormatPr baseColWidth="8" defaultColWidth="9.1796875" defaultRowHeight="14.5"/>
  <cols>
    <col width="11.6328125" customWidth="1" style="16" min="1" max="1"/>
    <col width="15" customWidth="1" style="16" min="2" max="4"/>
    <col width="9.1796875" customWidth="1" style="55" min="5" max="44"/>
    <col width="9.1796875" customWidth="1" style="55" min="45"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row r="545">
      <c r="A545" s="25" t="n">
        <v>44866</v>
      </c>
      <c r="B545" s="18">
        <f>VLOOKUP(Table48[[#This Row],[Date]],'DB LEI'!$A:$F,5)</f>
        <v/>
      </c>
      <c r="C545" s="24">
        <f>IF(VLOOKUP(Table48[[#This Row],[Date]],'DB LEI'!$A:$M,13)=0,"",VLOOKUP(Table48[[#This Row],[Date]],'DB LEI'!$A:$M,13))</f>
        <v/>
      </c>
      <c r="D545" s="24">
        <f>IF(VLOOKUP(Table48[[#This Row],[Date]],'DB LEI'!$A:$M,11)=0,"",VLOOKUP(Table48[[#This Row],[Date]],'DB LEI'!$A:$M,11))</f>
        <v/>
      </c>
    </row>
    <row r="546">
      <c r="A546" s="25" t="n">
        <v>44896</v>
      </c>
      <c r="B546" s="18">
        <f>VLOOKUP(Table48[[#This Row],[Date]],'DB LEI'!$A:$F,5)</f>
        <v/>
      </c>
      <c r="C546" s="24">
        <f>IF(VLOOKUP(Table48[[#This Row],[Date]],'DB LEI'!$A:$M,13)=0,"",VLOOKUP(Table48[[#This Row],[Date]],'DB LEI'!$A:$M,13))</f>
        <v/>
      </c>
      <c r="D546" s="24">
        <f>IF(VLOOKUP(Table48[[#This Row],[Date]],'DB LEI'!$A:$M,11)=0,"",VLOOKUP(Table48[[#This Row],[Date]],'DB LEI'!$A:$M,11))</f>
        <v/>
      </c>
    </row>
    <row r="547">
      <c r="A547" s="25" t="n">
        <v>44927</v>
      </c>
      <c r="B547" s="18">
        <f>VLOOKUP(Table48[[#This Row],[Date]],'DB LEI'!$A:$F,5)</f>
        <v/>
      </c>
      <c r="C547" s="24">
        <f>IF(VLOOKUP(Table48[[#This Row],[Date]],'DB LEI'!$A:$M,13)=0,"",VLOOKUP(Table48[[#This Row],[Date]],'DB LEI'!$A:$M,13))</f>
        <v/>
      </c>
      <c r="D547" s="24">
        <f>IF(VLOOKUP(Table48[[#This Row],[Date]],'DB LEI'!$A:$M,11)=0,"",VLOOKUP(Table48[[#This Row],[Date]],'DB LEI'!$A:$M,11))</f>
        <v/>
      </c>
    </row>
    <row r="548">
      <c r="A548" s="25" t="n">
        <v>44958</v>
      </c>
      <c r="B548" s="18">
        <f>VLOOKUP(Table48[[#This Row],[Date]],'DB LEI'!$A:$F,5)</f>
        <v/>
      </c>
      <c r="C548" s="24">
        <f>IF(VLOOKUP(Table48[[#This Row],[Date]],'DB LEI'!$A:$M,13)=0,"",VLOOKUP(Table48[[#This Row],[Date]],'DB LEI'!$A:$M,13))</f>
        <v/>
      </c>
      <c r="D548" s="24">
        <f>IF(VLOOKUP(Table48[[#This Row],[Date]],'DB LEI'!$A:$M,11)=0,"",VLOOKUP(Table48[[#This Row],[Date]],'DB LEI'!$A:$M,11))</f>
        <v/>
      </c>
    </row>
  </sheetData>
  <conditionalFormatting sqref="B391:B5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2023-03-04T18:38:18Z</dcterms:modified>
  <cp:lastModifiedBy>Mark Mukherjee</cp:lastModifiedBy>
</cp:coreProperties>
</file>