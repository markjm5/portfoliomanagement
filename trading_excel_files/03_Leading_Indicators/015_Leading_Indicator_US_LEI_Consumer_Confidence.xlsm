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6000" yWindow="-480" windowWidth="37060" windowHeight="211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8"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'Conference Board'!$B$10:$B$775</f>
              <numCache>
                <formatCode>0.00</formatCode>
                <ptCount val="766"/>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UMCSI!$B$7:$B$280</f>
              <numCache>
                <formatCode>General</formatCode>
                <ptCount val="274"/>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UMCSI!$C$7:$C$280</f>
              <numCache>
                <formatCode>General</formatCode>
                <ptCount val="27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UMCSI!$D$7:$D$280</f>
              <numCache>
                <formatCode>General</formatCode>
                <ptCount val="274"/>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UMCSI!$C$7:$C$281</f>
              <numCache>
                <formatCode>General</formatCode>
                <ptCount val="27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UMCSI!$D$7:$D$281</f>
              <numCache>
                <formatCode>General</formatCode>
                <ptCount val="27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GDP'!$A$7:$A$544</f>
              <numCache>
                <formatCode>mmm\-yy</formatCode>
                <ptCount val="538"/>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GDP'!$C$7:$C$544</f>
              <numCache>
                <formatCode>0.00%</formatCode>
                <ptCount val="538"/>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0.01774687161235577</v>
                </pt>
                <pt idx="535">
                  <v>0</v>
                </pt>
                <pt idx="536">
                  <v>0</v>
                </pt>
                <pt idx="537">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GDP'!$A$7:$A$544</f>
              <numCache>
                <formatCode>mmm\-yy</formatCode>
                <ptCount val="538"/>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GDP'!$B$7:$B$544</f>
              <numCache>
                <formatCode>0.0</formatCode>
                <ptCount val="538"/>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0.006355781733257151</v>
                </pt>
                <pt idx="535">
                  <v>0</v>
                </pt>
                <pt idx="536">
                  <v>0</v>
                </pt>
                <pt idx="537">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336549</colOff>
      <row>490</row>
      <rowOff>141941</rowOff>
    </from>
    <to>
      <col>15</col>
      <colOff>328706</colOff>
      <row>514</row>
      <rowOff>149412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73403</rowOff>
    </from>
    <to>
      <col>15</col>
      <colOff>321236</colOff>
      <row>541</row>
      <rowOff>67235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4" headerRowCount="1" totalsRowShown="0" headerRowDxfId="24" dataDxfId="23">
  <autoFilter ref="A9:F774"/>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0" headerRowCount="1" totalsRowShown="0" headerRowDxfId="16" dataDxfId="14" headerRowBorderDxfId="15">
  <autoFilter ref="A6:D280"/>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4" headerRowCount="1" totalsRowShown="0" headerRowDxfId="9" dataDxfId="7" headerRowBorderDxfId="8" tableBorderDxfId="6">
  <autoFilter ref="A6:D544"/>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LEI'!$A:$M,13)=0,"",VLOOKUP(Table48[[#This Row],[Date]],'DB LEI'!$A:$M,13))</calculatedColumnFormula>
    </tableColumn>
    <tableColumn id="4"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L22" sqref="L2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43"/>
    <col width="9.1640625" customWidth="1" style="55" min="4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44713</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0"/>
  <sheetViews>
    <sheetView zoomScale="150" zoomScaleNormal="150" workbookViewId="0">
      <pane ySplit="1" topLeftCell="A736" activePane="bottomLeft" state="frozen"/>
      <selection activeCell="H751" sqref="H751"/>
      <selection pane="bottomLeft" activeCell="L765" sqref="L765"/>
    </sheetView>
  </sheetViews>
  <sheetFormatPr baseColWidth="10" defaultRowHeight="15"/>
  <cols>
    <col width="18.832031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119.8</v>
      </c>
      <c r="C753" t="n">
        <v>4530.41015625</v>
      </c>
      <c r="D753" t="n">
        <v>59.4</v>
      </c>
      <c r="E753" t="n">
        <v>67.2</v>
      </c>
      <c r="F753" t="n">
        <v>54.3</v>
      </c>
      <c r="G753" t="n">
        <v/>
      </c>
      <c r="H753" t="n">
        <v/>
      </c>
      <c r="I753" t="n">
        <v/>
      </c>
      <c r="J753" t="n">
        <v/>
      </c>
      <c r="K753" t="n">
        <v/>
      </c>
      <c r="L753" t="n">
        <v/>
      </c>
      <c r="M753" t="n">
        <v/>
      </c>
    </row>
    <row r="754">
      <c r="A754" s="67"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7" t="n">
        <v>44682</v>
      </c>
      <c r="B755" t="n">
        <v>118.3</v>
      </c>
      <c r="C755" t="n">
        <v>4132.14990234375</v>
      </c>
      <c r="D755" t="n">
        <v>58.4</v>
      </c>
      <c r="E755" t="n">
        <v>63.3</v>
      </c>
      <c r="F755" t="n">
        <v>55.2</v>
      </c>
      <c r="G755" t="n">
        <v/>
      </c>
      <c r="H755" t="n">
        <v/>
      </c>
      <c r="I755" t="n">
        <v/>
      </c>
      <c r="J755" t="n">
        <v/>
      </c>
      <c r="K755" t="n">
        <v/>
      </c>
      <c r="L755" t="n">
        <v/>
      </c>
      <c r="M755" t="n">
        <v/>
      </c>
    </row>
    <row r="756">
      <c r="A756" s="67" t="n">
        <v>44713</v>
      </c>
      <c r="B756" t="n">
        <v>117.1</v>
      </c>
      <c r="C756" t="n">
        <v>3785.3798828125</v>
      </c>
      <c r="D756" t="n">
        <v>50</v>
      </c>
      <c r="E756" t="n">
        <v>53.8</v>
      </c>
      <c r="F756" t="n">
        <v>47.5</v>
      </c>
      <c r="G756" t="n">
        <v/>
      </c>
      <c r="H756" t="n">
        <v/>
      </c>
      <c r="I756" t="n">
        <v/>
      </c>
      <c r="J756" t="n">
        <v/>
      </c>
      <c r="K756" t="n">
        <v/>
      </c>
      <c r="L756" t="n">
        <v/>
      </c>
      <c r="M756" t="n">
        <v/>
      </c>
    </row>
    <row r="757">
      <c r="A757" s="67" t="n">
        <v>44743</v>
      </c>
      <c r="B757" t="n">
        <v>116.6</v>
      </c>
      <c r="C757" t="n">
        <v>4130.2900390625</v>
      </c>
      <c r="D757" t="n">
        <v>51.5</v>
      </c>
      <c r="E757" t="n">
        <v>58.1</v>
      </c>
      <c r="F757" t="n">
        <v>47.3</v>
      </c>
      <c r="G757" t="n">
        <v>20021.721</v>
      </c>
      <c r="H757" t="n">
        <v/>
      </c>
      <c r="I757" t="n">
        <v/>
      </c>
      <c r="J757" t="n">
        <v/>
      </c>
      <c r="K757" t="n">
        <v>0.006355781733257151</v>
      </c>
      <c r="L757" t="n">
        <v>0.02566653132516228</v>
      </c>
      <c r="M757" t="n">
        <v>0.01774687161235577</v>
      </c>
    </row>
    <row r="758">
      <c r="A758" s="67" t="n">
        <v>44774</v>
      </c>
      <c r="B758" t="n">
        <v>116.2</v>
      </c>
      <c r="C758" t="n">
        <v>3955</v>
      </c>
      <c r="D758" t="n">
        <v>58.2</v>
      </c>
      <c r="E758" t="n">
        <v>58.6</v>
      </c>
      <c r="F758" t="n">
        <v>58</v>
      </c>
      <c r="G758" t="n">
        <v/>
      </c>
      <c r="H758" t="n">
        <v/>
      </c>
      <c r="I758" t="n">
        <v/>
      </c>
      <c r="J758" t="n">
        <v/>
      </c>
      <c r="K758" t="n">
        <v/>
      </c>
      <c r="L758" t="n">
        <v/>
      </c>
      <c r="M758" t="n">
        <v/>
      </c>
    </row>
    <row r="759">
      <c r="A759" s="67" t="n">
        <v>44805</v>
      </c>
      <c r="B759" t="n">
        <v>115.9</v>
      </c>
      <c r="C759" t="n">
        <v>3585.6201171875</v>
      </c>
      <c r="D759" t="n">
        <v>58.6</v>
      </c>
      <c r="E759" t="n">
        <v>59.7</v>
      </c>
      <c r="F759" t="n">
        <v>58</v>
      </c>
      <c r="G759" t="n">
        <v/>
      </c>
      <c r="H759" t="n">
        <v/>
      </c>
      <c r="I759" t="n">
        <v/>
      </c>
      <c r="J759" t="n">
        <v/>
      </c>
      <c r="K759" t="n">
        <v/>
      </c>
      <c r="L759" t="n">
        <v/>
      </c>
      <c r="M759" t="n">
        <v/>
      </c>
    </row>
    <row r="760">
      <c r="A760" s="67" t="n">
        <v>44835</v>
      </c>
      <c r="B760" t="n">
        <v/>
      </c>
      <c r="C760" t="n">
        <v>3871.97998046875</v>
      </c>
      <c r="D760" t="n">
        <v>59.9</v>
      </c>
      <c r="E760" t="n">
        <v>65.59999999999999</v>
      </c>
      <c r="F760" t="n">
        <v>56.2</v>
      </c>
      <c r="G760" t="n">
        <v/>
      </c>
      <c r="H760" t="n">
        <v/>
      </c>
      <c r="I760" t="n">
        <v/>
      </c>
      <c r="J760" t="n">
        <v/>
      </c>
      <c r="K760" t="n">
        <v/>
      </c>
      <c r="L760" t="n">
        <v/>
      </c>
      <c r="M760"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4"/>
  <sheetViews>
    <sheetView zoomScale="90" zoomScaleNormal="90" workbookViewId="0">
      <pane ySplit="9" topLeftCell="A747" activePane="bottomLeft" state="frozen"/>
      <selection activeCell="H751" sqref="H751"/>
      <selection pane="bottomLeft" activeCell="A768" sqref="A768:F774"/>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34"/>
    <col width="9.1640625" customWidth="1" style="55" min="3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sheetData>
  <conditionalFormatting sqref="B622:B774">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0"/>
  <sheetViews>
    <sheetView zoomScaleNormal="100" workbookViewId="0">
      <pane ySplit="6" topLeftCell="A230" activePane="bottomLeft" state="frozen"/>
      <selection activeCell="M746" sqref="M746"/>
      <selection pane="bottomLeft" activeCell="A273" sqref="A273:D280"/>
    </sheetView>
  </sheetViews>
  <sheetFormatPr baseColWidth="10" defaultColWidth="9.1640625" defaultRowHeight="15"/>
  <cols>
    <col width="14.1640625" customWidth="1" style="16" min="1" max="1"/>
    <col width="16" customWidth="1" style="16" min="2" max="4"/>
    <col width="9.1640625" customWidth="1" style="55" min="5" max="32"/>
    <col width="9.1640625" customWidth="1" style="55" min="3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sheetData>
  <conditionalFormatting sqref="B127: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4"/>
  <sheetViews>
    <sheetView tabSelected="1" zoomScaleNormal="100" workbookViewId="0">
      <pane ySplit="6" topLeftCell="A509" activePane="bottomLeft" state="frozen"/>
      <selection activeCell="L765" sqref="L765"/>
      <selection pane="bottomLeft" activeCell="U534" sqref="U534"/>
    </sheetView>
  </sheetViews>
  <sheetFormatPr baseColWidth="10" defaultColWidth="9.1640625" defaultRowHeight="15"/>
  <cols>
    <col width="11.6640625" customWidth="1" style="16" min="1" max="1"/>
    <col width="15" customWidth="1" style="16" min="2" max="4"/>
    <col width="9.1640625" customWidth="1" style="55" min="5" max="32"/>
    <col width="9.1640625" customWidth="1" style="55" min="3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sheetData>
  <conditionalFormatting sqref="B391:B5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2022-10-31T14:09:07Z</dcterms:modified>
  <cp:lastModifiedBy>Mark Mukherjee</cp:lastModifiedBy>
</cp:coreProperties>
</file>