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UMCSI!$B$7:$B$278</f>
              <numCache>
                <formatCode>General</formatCode>
                <ptCount val="272"/>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Board'!$A$10:$A$772</f>
              <numCache>
                <formatCode>m/d/yy</formatCode>
                <ptCount val="763"/>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numCache>
            </numRef>
          </cat>
          <val>
            <numRef>
              <f>'Conference Board'!$B$10:$B$772</f>
              <numCache>
                <formatCode>0.00</formatCode>
                <ptCount val="763"/>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Board'!$A$10:$A$772</f>
              <numCache>
                <formatCode>m/d/yy</formatCode>
                <ptCount val="763"/>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numCache>
            </numRef>
          </cat>
          <val>
            <numRef>
              <f>'Conference Board'!$E$10:$E$772</f>
              <numCache>
                <formatCode>0.00</formatCode>
                <ptCount val="763"/>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UMCSI!$B$7:$B$277</f>
              <numCache>
                <formatCode>General</formatCode>
                <ptCount val="271"/>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UMCSI!$C$7:$C$277</f>
              <numCache>
                <formatCode>General</formatCode>
                <ptCount val="271"/>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UMCSI!$A$7:$A$277</f>
              <numCache>
                <formatCode>m/d/yy</formatCode>
                <ptCount val="27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UMCSI!$D$7:$D$277</f>
              <numCache>
                <formatCode>General</formatCode>
                <ptCount val="271"/>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UMCSI!$C$7:$C$278</f>
              <numCache>
                <formatCode>General</formatCode>
                <ptCount val="272"/>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UMCSI!$B$7:$B$278</f>
              <numCache>
                <formatCode>General</formatCode>
                <ptCount val="272"/>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UMCSI!$A$7:$A$278</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UMCSI!$D$7:$D$278</f>
              <numCache>
                <formatCode>General</formatCode>
                <ptCount val="272"/>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GDP'!$C$7:$C$542</f>
              <numCache>
                <formatCode>0.00%</formatCode>
                <ptCount val="536"/>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pt idx="531">
                  <v>0</v>
                </pt>
                <pt idx="532">
                  <v>0</v>
                </pt>
                <pt idx="533">
                  <v>0</v>
                </pt>
                <pt idx="534">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GDP'!$B$7:$B$542</f>
              <numCache>
                <formatCode>0.0</formatCode>
                <ptCount val="536"/>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GDP'!$D$7:$D$542</f>
              <numCache>
                <formatCode>0.00%</formatCode>
                <ptCount val="536"/>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pt idx="531">
                  <v>0</v>
                </pt>
                <pt idx="532">
                  <v>0</v>
                </pt>
                <pt idx="533">
                  <v>0</v>
                </pt>
                <pt idx="534">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GDP'!$A$7:$A$542</f>
              <numCache>
                <formatCode>mmm\-yy</formatCode>
                <ptCount val="536"/>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numCache>
            </numRef>
          </cat>
          <val>
            <numRef>
              <f>'UMCSI vs GDP'!$B$7:$B$542</f>
              <numCache>
                <formatCode>0.0</formatCode>
                <ptCount val="536"/>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1" headerRowCount="1" totalsRowShown="0" headerRowDxfId="24" dataDxfId="23">
  <autoFilter ref="A9:F771"/>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7" headerRowCount="1" totalsRowShown="0" headerRowDxfId="16" dataDxfId="14" headerRowBorderDxfId="15">
  <autoFilter ref="A6:D277"/>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1" headerRowCount="1" totalsRowShown="0" headerRowDxfId="9" dataDxfId="7" headerRowBorderDxfId="8" tableBorderDxfId="6">
  <autoFilter ref="A6:D541"/>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L22" sqref="L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7"/>
    <col width="9.1640625" customWidth="1" style="55" min="38"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44713</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7"/>
  <sheetViews>
    <sheetView zoomScale="150" zoomScaleNormal="150" workbookViewId="0">
      <pane ySplit="1" topLeftCell="A736" activePane="bottomLeft" state="frozen"/>
      <selection activeCell="H751" sqref="H751"/>
      <selection pane="bottomLeft" activeCell="H751" sqref="H751"/>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19806.29</v>
      </c>
      <c r="H748" t="n">
        <v>0.01679094392068376</v>
      </c>
      <c r="I748" t="n">
        <v>0.05531736362184171</v>
      </c>
      <c r="J748" t="n">
        <v>0.06887440582969107</v>
      </c>
      <c r="K748" t="n">
        <v>0.01680778265992841</v>
      </c>
      <c r="L748" t="n">
        <v>0.06894521269365228</v>
      </c>
      <c r="M748" t="n">
        <v>0.05533484038440792</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19727.918</v>
      </c>
      <c r="H751" t="n">
        <v/>
      </c>
      <c r="I751" t="n">
        <v/>
      </c>
      <c r="J751" t="n">
        <v/>
      </c>
      <c r="K751" t="n">
        <v>-0.003956924795102939</v>
      </c>
      <c r="L751" t="n">
        <v>-0.01573400323056107</v>
      </c>
      <c r="M751" t="n">
        <v>0.03527892376305106</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19681.682</v>
      </c>
      <c r="H754" t="n">
        <v/>
      </c>
      <c r="I754" t="n">
        <v/>
      </c>
      <c r="J754" t="n">
        <v/>
      </c>
      <c r="K754" t="n">
        <v>-0.002343683707525588</v>
      </c>
      <c r="L754" t="n">
        <v>-0.009341829174048688</v>
      </c>
      <c r="M754" t="n">
        <v>0.0161796253777433</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
      </c>
      <c r="H757" t="n">
        <v/>
      </c>
      <c r="I757" t="n">
        <v/>
      </c>
      <c r="J757" t="n">
        <v/>
      </c>
      <c r="K757" t="n">
        <v/>
      </c>
      <c r="L757" t="n">
        <v/>
      </c>
      <c r="M757"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1"/>
  <sheetViews>
    <sheetView zoomScale="150" zoomScaleNormal="150" workbookViewId="0">
      <pane ySplit="9" topLeftCell="A757" activePane="bottomLeft" state="frozen"/>
      <selection activeCell="H751" sqref="H751"/>
      <selection pane="bottomLeft" activeCell="H751" sqref="H751"/>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8"/>
    <col width="9.1640625" customWidth="1" style="55" min="29"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sheetData>
  <conditionalFormatting sqref="B622:B77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77"/>
  <sheetViews>
    <sheetView topLeftCell="L1" zoomScale="150" zoomScaleNormal="150" workbookViewId="0">
      <pane ySplit="6" topLeftCell="A254" activePane="bottomLeft" state="frozen"/>
      <selection activeCell="M746" sqref="M746"/>
      <selection pane="bottomLeft" activeCell="A271" sqref="A271:D277"/>
    </sheetView>
  </sheetViews>
  <sheetFormatPr baseColWidth="10" defaultColWidth="9.1640625" defaultRowHeight="15"/>
  <cols>
    <col width="14.1640625" customWidth="1" style="16" min="1" max="1"/>
    <col width="16" customWidth="1" style="16" min="2" max="4"/>
    <col width="9.1640625" customWidth="1" style="55" min="5" max="26"/>
    <col width="9.1640625" customWidth="1" style="55" min="27"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sheetData>
  <conditionalFormatting sqref="B127:B2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1"/>
  <sheetViews>
    <sheetView tabSelected="1" zoomScale="170" zoomScaleNormal="170" workbookViewId="0">
      <pane ySplit="6" topLeftCell="A530" activePane="bottomLeft" state="frozen"/>
      <selection activeCell="M746" sqref="M746"/>
      <selection pane="bottomLeft" activeCell="M495" sqref="M495"/>
    </sheetView>
  </sheetViews>
  <sheetFormatPr baseColWidth="10" defaultColWidth="9.1640625" defaultRowHeight="15"/>
  <cols>
    <col width="11.6640625" customWidth="1" style="16" min="1" max="1"/>
    <col width="15" customWidth="1" style="16" min="2" max="4"/>
    <col width="9.1640625" customWidth="1" style="55" min="5" max="26"/>
    <col width="9.1640625" customWidth="1" style="55" min="27"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row r="538">
      <c r="A538" s="25" t="n">
        <v>44652</v>
      </c>
      <c r="B538" s="18">
        <f>VLOOKUP(Table48[[#This Row],[Date]],'DB LEI'!$A:$F,5)</f>
        <v/>
      </c>
      <c r="C538" s="24">
        <f>IF(VLOOKUP(Table48[[#This Row],[Date]],'DB LEI'!$A:$I,9)=0,"",VLOOKUP(Table48[[#This Row],[Date]],'DB LEI'!$A:$I,9))</f>
        <v/>
      </c>
      <c r="D538" s="24">
        <f>IF(VLOOKUP(Table48[[#This Row],[Date]],'DB LEI'!$A:$I,8)=0,"",VLOOKUP(Table48[[#This Row],[Date]],'DB LEI'!$A:$I,8))</f>
        <v/>
      </c>
    </row>
    <row r="539">
      <c r="A539" s="25" t="n">
        <v>44682</v>
      </c>
      <c r="B539" s="18">
        <f>VLOOKUP(Table48[[#This Row],[Date]],'DB LEI'!$A:$F,5)</f>
        <v/>
      </c>
      <c r="C539" s="24">
        <f>IF(VLOOKUP(Table48[[#This Row],[Date]],'DB LEI'!$A:$I,9)=0,"",VLOOKUP(Table48[[#This Row],[Date]],'DB LEI'!$A:$I,9))</f>
        <v/>
      </c>
      <c r="D539" s="24">
        <f>IF(VLOOKUP(Table48[[#This Row],[Date]],'DB LEI'!$A:$I,8)=0,"",VLOOKUP(Table48[[#This Row],[Date]],'DB LEI'!$A:$I,8))</f>
        <v/>
      </c>
    </row>
    <row r="540">
      <c r="A540" s="25" t="n">
        <v>44713</v>
      </c>
      <c r="B540" s="18">
        <f>VLOOKUP(Table48[[#This Row],[Date]],'DB LEI'!$A:$F,5)</f>
        <v/>
      </c>
      <c r="C540" s="24">
        <f>IF(VLOOKUP(Table48[[#This Row],[Date]],'DB LEI'!$A:$I,9)=0,"",VLOOKUP(Table48[[#This Row],[Date]],'DB LEI'!$A:$I,9))</f>
        <v/>
      </c>
      <c r="D540" s="24">
        <f>IF(VLOOKUP(Table48[[#This Row],[Date]],'DB LEI'!$A:$I,8)=0,"",VLOOKUP(Table48[[#This Row],[Date]],'DB LEI'!$A:$I,8))</f>
        <v/>
      </c>
    </row>
    <row r="541">
      <c r="A541" s="25" t="n">
        <v>44743</v>
      </c>
      <c r="B541" s="18">
        <f>VLOOKUP(Table48[[#This Row],[Date]],'DB LEI'!$A:$F,5)</f>
        <v/>
      </c>
      <c r="C541" s="24">
        <f>IF(VLOOKUP(Table48[[#This Row],[Date]],'DB LEI'!$A:$I,9)=0,"",VLOOKUP(Table48[[#This Row],[Date]],'DB LEI'!$A:$I,9))</f>
        <v/>
      </c>
      <c r="D541" s="24">
        <f>IF(VLOOKUP(Table48[[#This Row],[Date]],'DB LEI'!$A:$I,8)=0,"",VLOOKUP(Table48[[#This Row],[Date]],'DB LEI'!$A:$I,8))</f>
        <v/>
      </c>
    </row>
  </sheetData>
  <conditionalFormatting sqref="B391:B5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2022-08-09T13:33:33Z</dcterms:modified>
  <cp:lastModifiedBy>Mark Mukherjee</cp:lastModifiedBy>
</cp:coreProperties>
</file>