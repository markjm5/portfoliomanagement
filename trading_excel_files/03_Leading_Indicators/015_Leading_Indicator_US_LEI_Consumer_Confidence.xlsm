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cent" xfId="1" builtinId="5"/>
    <cellStyle name="Hyperlink" xfId="2" builtinId="8"/>
    <cellStyle name="Normal 3" xfId="3"/>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'Conference Board'!$B$10:$B$775</f>
              <numCache>
                <formatCode>0.00</formatCode>
                <ptCount val="766"/>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UMCSI!$C$7:$C$280</f>
              <numCache>
                <formatCode>General</formatCode>
                <ptCount val="27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UMCSI!$D$7:$D$280</f>
              <numCache>
                <formatCode>General</formatCode>
                <ptCount val="27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UMCSI!$C$7:$C$281</f>
              <numCache>
                <formatCode>General</formatCode>
                <ptCount val="27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UMCSI!$D$7:$D$281</f>
              <numCache>
                <formatCode>General</formatCode>
                <ptCount val="27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GDP'!$C$7:$C$547</f>
              <numCache>
                <formatCode>0.00%</formatCode>
                <ptCount val="541"/>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0.01864583796117574</v>
                </pt>
                <pt idx="535">
                  <v>0</v>
                </pt>
                <pt idx="536">
                  <v>0</v>
                </pt>
                <pt idx="537">
                  <v>0</v>
                </pt>
                <pt idx="538">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GDP'!$B$7:$B$547</f>
              <numCache>
                <formatCode>0.0</formatCode>
                <ptCount val="541"/>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0.007244686438299754</v>
                </pt>
                <pt idx="535">
                  <v>0</v>
                </pt>
                <pt idx="536">
                  <v>0</v>
                </pt>
                <pt idx="537">
                  <v>0</v>
                </pt>
                <pt idx="538">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18</col>
      <colOff>98424</colOff>
      <row>521</row>
      <rowOff>14941</rowOff>
    </from>
    <to>
      <col>31</col>
      <colOff>174625</colOff>
      <row>549</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184243</colOff>
      <row>521</row>
      <rowOff>41652</rowOff>
    </from>
    <to>
      <col>17</col>
      <colOff>412750</colOff>
      <row>549</row>
      <rowOff>-1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5" headerRowCount="1" totalsRowShown="0" headerRowDxfId="22" dataDxfId="21">
  <autoFilter ref="A9:F775"/>
  <tableColumns count="6">
    <tableColumn id="1" name="Date" dataDxfId="20"/>
    <tableColumn id="2" name="Conference Board Leading Indicator" dataDxfId="19"/>
    <tableColumn id="3" name="Var y/y %" dataDxfId="18"/>
    <tableColumn id="4" name="GDP y/y %" dataDxfId="17"/>
    <tableColumn id="5" name="UMSCI" dataDxfId="16"/>
    <tableColumn id="6" name="SUMSCI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0" headerRowCount="1" totalsRowShown="0" headerRowDxfId="14" dataDxfId="12" headerRowBorderDxfId="13">
  <autoFilter ref="A6:D280"/>
  <sortState ref="A7:D224">
    <sortCondition ref="A7:A224"/>
  </sortState>
  <tableColumns count="4">
    <tableColumn id="1" name="Date" dataDxfId="11"/>
    <tableColumn id="2" name="UMCSI" dataDxfId="10">
      <calculatedColumnFormula>VLOOKUP(Table2[[#This Row],[Date]],'DB LEI'!$A:$F,4)</calculatedColumnFormula>
    </tableColumn>
    <tableColumn id="3" name="Mich Current Index" dataDxfId="9">
      <calculatedColumnFormula>VLOOKUP(Table2[[#This Row],[Date]],'DB LEI'!$A:$F,5)</calculatedColumnFormula>
    </tableColumn>
    <tableColumn id="4"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5" headerRowCount="1" totalsRowShown="0" headerRowDxfId="7" dataDxfId="5" headerRowBorderDxfId="6" tableBorderDxfId="4">
  <autoFilter ref="A6:D545"/>
  <sortState ref="A7:D385">
    <sortCondition ref="B15:B512"/>
  </sortState>
  <tableColumns count="4">
    <tableColumn id="1" name="Date" dataDxfId="3"/>
    <tableColumn id="2" name="UMCSI" dataDxfId="2">
      <calculatedColumnFormula>VLOOKUP(Table48[[#This Row],[Date]],'DB LEI'!$A:$F,5)</calculatedColumnFormula>
    </tableColumn>
    <tableColumn id="3" name="GDP yoy %" dataDxfId="1">
      <calculatedColumnFormula>IF(VLOOKUP(Table48[[#This Row],[Date]],'DB LEI'!$A:$M,13)=0,"",VLOOKUP(Table48[[#This Row],[Date]],'DB LEI'!$A:$M,13))</calculatedColumnFormula>
    </tableColumn>
    <tableColumn id="4"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abSelected="1" zoomScale="80" zoomScaleNormal="80" workbookViewId="0">
      <selection activeCell="J15" sqref="J15"/>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45"/>
    <col width="9.1796875" customWidth="1" style="55" min="46"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44835</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1"/>
  <sheetViews>
    <sheetView zoomScale="40" zoomScaleNormal="40" workbookViewId="0">
      <pane ySplit="1" topLeftCell="A736" activePane="bottomLeft" state="frozen"/>
      <selection activeCell="H751" sqref="H751"/>
      <selection pane="bottomLeft" activeCell="L765" sqref="L765"/>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116.6</v>
      </c>
      <c r="C757" t="n">
        <v>4130.2900390625</v>
      </c>
      <c r="D757" t="n">
        <v>51.5</v>
      </c>
      <c r="E757" t="n">
        <v>58.1</v>
      </c>
      <c r="F757" t="n">
        <v>47.3</v>
      </c>
      <c r="G757" t="n">
        <v>20039.406</v>
      </c>
      <c r="H757" t="n">
        <v/>
      </c>
      <c r="I757" t="n">
        <v/>
      </c>
      <c r="J757" t="n">
        <v/>
      </c>
      <c r="K757" t="n">
        <v>0.007244686438299754</v>
      </c>
      <c r="L757" t="n">
        <v>0.02929518236088735</v>
      </c>
      <c r="M757" t="n">
        <v>0.01864583796117574</v>
      </c>
    </row>
    <row r="758">
      <c r="A758" s="67" t="n">
        <v>44774</v>
      </c>
      <c r="B758" t="n">
        <v>116.2</v>
      </c>
      <c r="C758" t="n">
        <v>3955</v>
      </c>
      <c r="D758" t="n">
        <v>58.2</v>
      </c>
      <c r="E758" t="n">
        <v>58.6</v>
      </c>
      <c r="F758" t="n">
        <v>58</v>
      </c>
      <c r="G758" t="n">
        <v/>
      </c>
      <c r="H758" t="n">
        <v/>
      </c>
      <c r="I758" t="n">
        <v/>
      </c>
      <c r="J758" t="n">
        <v/>
      </c>
      <c r="K758" t="n">
        <v/>
      </c>
      <c r="L758" t="n">
        <v/>
      </c>
      <c r="M758" t="n">
        <v/>
      </c>
    </row>
    <row r="759">
      <c r="A759" s="67" t="n">
        <v>44805</v>
      </c>
      <c r="B759" t="n">
        <v>115.9</v>
      </c>
      <c r="C759" t="n">
        <v>3585.6201171875</v>
      </c>
      <c r="D759" t="n">
        <v>58.6</v>
      </c>
      <c r="E759" t="n">
        <v>59.7</v>
      </c>
      <c r="F759" t="n">
        <v>58</v>
      </c>
      <c r="G759" t="n">
        <v/>
      </c>
      <c r="H759" t="n">
        <v/>
      </c>
      <c r="I759" t="n">
        <v/>
      </c>
      <c r="J759" t="n">
        <v/>
      </c>
      <c r="K759" t="n">
        <v/>
      </c>
      <c r="L759" t="n">
        <v/>
      </c>
      <c r="M759" t="n">
        <v/>
      </c>
    </row>
    <row r="760">
      <c r="A760" s="67" t="n">
        <v>44835</v>
      </c>
      <c r="B760" t="n">
        <v>114.9</v>
      </c>
      <c r="C760" t="n">
        <v>3871.97998046875</v>
      </c>
      <c r="D760" t="n">
        <v>59.9</v>
      </c>
      <c r="E760" t="n">
        <v>65.59999999999999</v>
      </c>
      <c r="F760" t="n">
        <v>56.2</v>
      </c>
      <c r="G760" t="n">
        <v/>
      </c>
      <c r="H760" t="n">
        <v/>
      </c>
      <c r="I760" t="n">
        <v/>
      </c>
      <c r="J760" t="n">
        <v/>
      </c>
      <c r="K760" t="n">
        <v/>
      </c>
      <c r="L760" t="n">
        <v/>
      </c>
      <c r="M760" t="n">
        <v/>
      </c>
    </row>
    <row r="761">
      <c r="A761" s="67" t="n">
        <v>44866</v>
      </c>
      <c r="B761" t="n">
        <v/>
      </c>
      <c r="C761" t="n">
        <v>4080.110107421875</v>
      </c>
      <c r="D761" t="n">
        <v>56.8</v>
      </c>
      <c r="E761" t="n">
        <v>58.8</v>
      </c>
      <c r="F761" t="n">
        <v>55.6</v>
      </c>
      <c r="G761" t="n">
        <v/>
      </c>
      <c r="H761" t="n">
        <v/>
      </c>
      <c r="I761" t="n">
        <v/>
      </c>
      <c r="J761" t="n">
        <v/>
      </c>
      <c r="K761" t="n">
        <v/>
      </c>
      <c r="L761" t="n">
        <v/>
      </c>
      <c r="M761"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5"/>
  <sheetViews>
    <sheetView topLeftCell="B1" zoomScale="80" zoomScaleNormal="80" workbookViewId="0">
      <pane ySplit="9" topLeftCell="A757" activePane="bottomLeft" state="frozen"/>
      <selection activeCell="H751" sqref="H751"/>
      <selection pane="bottomLeft" activeCell="Y772" sqref="Y772"/>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36"/>
    <col width="9.1796875" customWidth="1" style="55" min="37"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sheetData>
  <conditionalFormatting sqref="B622:B7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0"/>
  <sheetViews>
    <sheetView zoomScale="80" zoomScaleNormal="80" workbookViewId="0">
      <pane ySplit="6" topLeftCell="A262" activePane="bottomLeft" state="frozen"/>
      <selection activeCell="M746" sqref="M746"/>
      <selection pane="bottomLeft" activeCell="L238" sqref="L238"/>
    </sheetView>
  </sheetViews>
  <sheetFormatPr baseColWidth="8" defaultColWidth="9.1796875" defaultRowHeight="14.5"/>
  <cols>
    <col width="14.1796875" customWidth="1" style="16" min="1" max="1"/>
    <col width="16" customWidth="1" style="16" min="2" max="4"/>
    <col width="9.1796875" customWidth="1" style="55" min="5" max="34"/>
    <col width="9.1796875" customWidth="1" style="55" min="35"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5"/>
  <sheetViews>
    <sheetView zoomScale="50" zoomScaleNormal="50" workbookViewId="0">
      <pane ySplit="6" topLeftCell="A514" activePane="bottomLeft" state="frozen"/>
      <selection activeCell="L765" sqref="L765"/>
      <selection pane="bottomLeft" activeCell="T518" sqref="T518"/>
    </sheetView>
  </sheetViews>
  <sheetFormatPr baseColWidth="8" defaultColWidth="9.1796875" defaultRowHeight="14.5"/>
  <cols>
    <col width="11.6328125" customWidth="1" style="16" min="1" max="1"/>
    <col width="15" customWidth="1" style="16" min="2" max="4"/>
    <col width="9.1796875" customWidth="1" style="55" min="5" max="34"/>
    <col width="9.1796875" customWidth="1" style="55" min="35"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sheetData>
  <conditionalFormatting sqref="B391:B54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2022-12-03T13:43:50Z</dcterms:modified>
  <cp:lastModifiedBy>Mark Mukherjee</cp:lastModifiedBy>
</cp:coreProperties>
</file>