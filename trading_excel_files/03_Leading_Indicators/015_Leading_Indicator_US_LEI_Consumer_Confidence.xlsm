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8140" yWindow="2820" windowWidth="38140" windowHeight="241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UMCSI!$B$7:$B$279</f>
              <numCache>
                <formatCode>General</formatCode>
                <ptCount val="273"/>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'Conference Board'!$B$10:$B$773</f>
              <numCache>
                <formatCode>0.00</formatCode>
                <ptCount val="764"/>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UMCSI!$B$7:$B$278</f>
              <numCache>
                <formatCode>General</formatCode>
                <ptCount val="272"/>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UMCSI!$C$7:$C$278</f>
              <numCache>
                <formatCode>General</formatCode>
                <ptCount val="272"/>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UMCSI!$D$7:$D$278</f>
              <numCache>
                <formatCode>General</formatCode>
                <ptCount val="272"/>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UMCSI!$C$7:$C$279</f>
              <numCache>
                <formatCode>General</formatCode>
                <ptCount val="273"/>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UMCSI!$B$7:$B$279</f>
              <numCache>
                <formatCode>General</formatCode>
                <ptCount val="273"/>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UMCSI!$D$7:$D$279</f>
              <numCache>
                <formatCode>General</formatCode>
                <ptCount val="273"/>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GDP'!$A$7:$A$543</f>
              <numCache>
                <formatCode>mmm\-yy</formatCode>
                <ptCount val="537"/>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numCache>
            </numRef>
          </cat>
          <val>
            <numRef>
              <f>'UMCSI vs GDP'!$C$7:$C$543</f>
              <numCache>
                <formatCode>0.00%</formatCode>
                <ptCount val="537"/>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pt idx="531">
                  <v>0</v>
                </pt>
                <pt idx="532">
                  <v>0</v>
                </pt>
                <pt idx="533">
                  <v>0</v>
                </pt>
                <pt idx="534">
                  <v>0</v>
                </pt>
                <pt idx="535">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GDP'!$A$7:$A$543</f>
              <numCache>
                <formatCode>mmm\-yy</formatCode>
                <ptCount val="537"/>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numCache>
            </numRef>
          </cat>
          <val>
            <numRef>
              <f>'UMCSI vs GDP'!$B$7:$B$543</f>
              <numCache>
                <formatCode>0.0</formatCode>
                <ptCount val="537"/>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numCache>
            </numRef>
          </cat>
          <val>
            <numRef>
              <f>'UMCSI vs GDP'!$D$7:$D$550</f>
              <numCache>
                <formatCode>0.00%</formatCode>
                <ptCount val="544"/>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pt idx="531">
                  <v>0</v>
                </pt>
                <pt idx="532">
                  <v>0</v>
                </pt>
                <pt idx="533">
                  <v>0</v>
                </pt>
                <pt idx="534">
                  <v>0</v>
                </pt>
                <pt idx="535">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336549</colOff>
      <row>490</row>
      <rowOff>141941</rowOff>
    </from>
    <to>
      <col>15</col>
      <colOff>328706</colOff>
      <row>514</row>
      <rowOff>149412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73403</rowOff>
    </from>
    <to>
      <col>15</col>
      <colOff>321236</colOff>
      <row>541</row>
      <rowOff>67235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2" headerRowCount="1" totalsRowShown="0" headerRowDxfId="24" dataDxfId="23">
  <autoFilter ref="A9:F772"/>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8" headerRowCount="1" totalsRowShown="0" headerRowDxfId="16" dataDxfId="14" headerRowBorderDxfId="15">
  <autoFilter ref="A6:D278"/>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2" headerRowCount="1" totalsRowShown="0" headerRowDxfId="9" dataDxfId="7" headerRowBorderDxfId="8" tableBorderDxfId="6">
  <autoFilter ref="A6:D542"/>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L22" sqref="L2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9"/>
    <col width="9.1640625" customWidth="1" style="55" min="40"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44713</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0"/>
  <sheetViews>
    <sheetView zoomScale="150" zoomScaleNormal="150" workbookViewId="0">
      <pane ySplit="1" topLeftCell="A736" activePane="bottomLeft" state="frozen"/>
      <selection activeCell="H751" sqref="H751"/>
      <selection pane="bottomLeft" activeCell="G754" sqref="G754"/>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row r="757">
      <c r="A757" s="68" t="n">
        <v>44743</v>
      </c>
      <c r="B757" t="n">
        <v>116.6</v>
      </c>
      <c r="C757" t="n">
        <v>4130.2900390625</v>
      </c>
      <c r="D757" t="n">
        <v>51.5</v>
      </c>
      <c r="E757" t="n">
        <v>58.1</v>
      </c>
      <c r="F757" t="n">
        <v>47.3</v>
      </c>
      <c r="G757" t="n">
        <v/>
      </c>
      <c r="H757" t="n">
        <v/>
      </c>
      <c r="I757" t="n">
        <v/>
      </c>
      <c r="J757" t="n">
        <v/>
      </c>
      <c r="K757" t="n">
        <v/>
      </c>
      <c r="L757" t="n">
        <v/>
      </c>
      <c r="M757" t="n">
        <v/>
      </c>
    </row>
    <row r="758">
      <c r="A758" s="68" t="n">
        <v>44774</v>
      </c>
      <c r="B758" t="n">
        <v>116.2</v>
      </c>
      <c r="C758" t="n">
        <v>3955</v>
      </c>
      <c r="D758" t="n">
        <v>58.2</v>
      </c>
      <c r="E758" t="n">
        <v>58.6</v>
      </c>
      <c r="F758" t="n">
        <v>58</v>
      </c>
      <c r="G758" t="n">
        <v/>
      </c>
      <c r="H758" t="n">
        <v/>
      </c>
      <c r="I758" t="n">
        <v/>
      </c>
      <c r="J758" t="n">
        <v/>
      </c>
      <c r="K758" t="n">
        <v/>
      </c>
      <c r="L758" t="n">
        <v/>
      </c>
      <c r="M758" t="n">
        <v/>
      </c>
    </row>
    <row r="759">
      <c r="A759" s="68" t="n">
        <v>44805</v>
      </c>
      <c r="B759" t="n">
        <v/>
      </c>
      <c r="C759" t="n">
        <v>3585.6201171875</v>
      </c>
      <c r="D759" t="n">
        <v>58.6</v>
      </c>
      <c r="E759" t="n">
        <v>59.7</v>
      </c>
      <c r="F759" t="n">
        <v>58</v>
      </c>
      <c r="G759" t="n">
        <v/>
      </c>
      <c r="H759" t="n">
        <v/>
      </c>
      <c r="I759" t="n">
        <v/>
      </c>
      <c r="J759" t="n">
        <v/>
      </c>
      <c r="K759" t="n">
        <v/>
      </c>
      <c r="L759" t="n">
        <v/>
      </c>
      <c r="M759" t="n">
        <v/>
      </c>
    </row>
    <row r="760">
      <c r="A760" s="68" t="n">
        <v>44834</v>
      </c>
      <c r="B760" t="n">
        <v/>
      </c>
      <c r="C760" t="n">
        <v>3585.6201171875</v>
      </c>
      <c r="D760" t="n">
        <v/>
      </c>
      <c r="E760" t="n">
        <v/>
      </c>
      <c r="F760" t="n">
        <v/>
      </c>
      <c r="G760" t="n">
        <v/>
      </c>
      <c r="H760" t="n">
        <v/>
      </c>
      <c r="I760" t="n">
        <v/>
      </c>
      <c r="J760" t="n">
        <v/>
      </c>
      <c r="K760" t="n">
        <v/>
      </c>
      <c r="L760" t="n">
        <v/>
      </c>
      <c r="M760"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2"/>
  <sheetViews>
    <sheetView zoomScale="150" zoomScaleNormal="150" workbookViewId="0">
      <pane ySplit="9" topLeftCell="A760" activePane="bottomLeft" state="frozen"/>
      <selection activeCell="H751" sqref="H751"/>
      <selection pane="bottomLeft" activeCell="A763" sqref="A763:F772"/>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30"/>
    <col width="9.1640625" customWidth="1" style="55" min="31"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sheetData>
  <conditionalFormatting sqref="B622:B7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78"/>
  <sheetViews>
    <sheetView topLeftCell="B1" zoomScale="150" zoomScaleNormal="150" workbookViewId="0">
      <pane ySplit="6" topLeftCell="A255" activePane="bottomLeft" state="frozen"/>
      <selection activeCell="M746" sqref="M746"/>
      <selection pane="bottomLeft" activeCell="I280" sqref="I280"/>
    </sheetView>
  </sheetViews>
  <sheetFormatPr baseColWidth="10" defaultColWidth="9.1640625" defaultRowHeight="15"/>
  <cols>
    <col width="14.1640625" customWidth="1" style="16" min="1" max="1"/>
    <col width="16" customWidth="1" style="16" min="2" max="4"/>
    <col width="9.1640625" customWidth="1" style="55" min="5" max="28"/>
    <col width="9.1640625" customWidth="1" style="55" min="29"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sheetData>
  <conditionalFormatting sqref="B127:B2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2"/>
  <sheetViews>
    <sheetView tabSelected="1" zoomScale="170" zoomScaleNormal="170" workbookViewId="0">
      <pane ySplit="6" topLeftCell="A514" activePane="bottomLeft" state="frozen"/>
      <selection activeCell="G754" sqref="G754"/>
      <selection pane="bottomLeft" activeCell="G754" sqref="G754"/>
    </sheetView>
  </sheetViews>
  <sheetFormatPr baseColWidth="10" defaultColWidth="9.1640625" defaultRowHeight="15"/>
  <cols>
    <col width="11.6640625" customWidth="1" style="16" min="1" max="1"/>
    <col width="15" customWidth="1" style="16" min="2" max="4"/>
    <col width="9.1640625" customWidth="1" style="55" min="5" max="28"/>
    <col width="9.1640625" customWidth="1" style="55" min="29"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row r="538">
      <c r="A538" s="25" t="n">
        <v>44652</v>
      </c>
      <c r="B538" s="18">
        <f>VLOOKUP(Table48[[#This Row],[Date]],'DB LEI'!$A:$F,5)</f>
        <v/>
      </c>
      <c r="C538" s="24">
        <f>IF(VLOOKUP(Table48[[#This Row],[Date]],'DB LEI'!$A:$I,9)=0,"",VLOOKUP(Table48[[#This Row],[Date]],'DB LEI'!$A:$I,9))</f>
        <v/>
      </c>
      <c r="D538" s="24">
        <f>IF(VLOOKUP(Table48[[#This Row],[Date]],'DB LEI'!$A:$I,8)=0,"",VLOOKUP(Table48[[#This Row],[Date]],'DB LEI'!$A:$I,8))</f>
        <v/>
      </c>
    </row>
    <row r="539">
      <c r="A539" s="25" t="n">
        <v>44682</v>
      </c>
      <c r="B539" s="18">
        <f>VLOOKUP(Table48[[#This Row],[Date]],'DB LEI'!$A:$F,5)</f>
        <v/>
      </c>
      <c r="C539" s="24">
        <f>IF(VLOOKUP(Table48[[#This Row],[Date]],'DB LEI'!$A:$I,9)=0,"",VLOOKUP(Table48[[#This Row],[Date]],'DB LEI'!$A:$I,9))</f>
        <v/>
      </c>
      <c r="D539" s="24">
        <f>IF(VLOOKUP(Table48[[#This Row],[Date]],'DB LEI'!$A:$I,8)=0,"",VLOOKUP(Table48[[#This Row],[Date]],'DB LEI'!$A:$I,8))</f>
        <v/>
      </c>
    </row>
    <row r="540">
      <c r="A540" s="25" t="n">
        <v>44713</v>
      </c>
      <c r="B540" s="18">
        <f>VLOOKUP(Table48[[#This Row],[Date]],'DB LEI'!$A:$F,5)</f>
        <v/>
      </c>
      <c r="C540" s="24">
        <f>IF(VLOOKUP(Table48[[#This Row],[Date]],'DB LEI'!$A:$I,9)=0,"",VLOOKUP(Table48[[#This Row],[Date]],'DB LEI'!$A:$I,9))</f>
        <v/>
      </c>
      <c r="D540" s="24">
        <f>IF(VLOOKUP(Table48[[#This Row],[Date]],'DB LEI'!$A:$I,8)=0,"",VLOOKUP(Table48[[#This Row],[Date]],'DB LEI'!$A:$I,8))</f>
        <v/>
      </c>
    </row>
    <row r="541">
      <c r="A541" s="25" t="n">
        <v>44743</v>
      </c>
      <c r="B541" s="18">
        <f>VLOOKUP(Table48[[#This Row],[Date]],'DB LEI'!$A:$F,5)</f>
        <v/>
      </c>
      <c r="C541" s="24">
        <f>IF(VLOOKUP(Table48[[#This Row],[Date]],'DB LEI'!$A:$I,9)=0,"",VLOOKUP(Table48[[#This Row],[Date]],'DB LEI'!$A:$I,9))</f>
        <v/>
      </c>
      <c r="D541" s="24">
        <f>IF(VLOOKUP(Table48[[#This Row],[Date]],'DB LEI'!$A:$I,8)=0,"",VLOOKUP(Table48[[#This Row],[Date]],'DB LEI'!$A:$I,8))</f>
        <v/>
      </c>
    </row>
    <row r="542">
      <c r="A542" s="25" t="n">
        <v>44774</v>
      </c>
      <c r="B542" s="18">
        <f>VLOOKUP(Table48[[#This Row],[Date]],'DB LEI'!$A:$F,5)</f>
        <v/>
      </c>
      <c r="C542" s="24">
        <f>IF(VLOOKUP(Table48[[#This Row],[Date]],'DB LEI'!$A:$I,9)=0,"",VLOOKUP(Table48[[#This Row],[Date]],'DB LEI'!$A:$I,9))</f>
        <v/>
      </c>
      <c r="D542" s="24">
        <f>IF(VLOOKUP(Table48[[#This Row],[Date]],'DB LEI'!$A:$I,8)=0,"",VLOOKUP(Table48[[#This Row],[Date]],'DB LEI'!$A:$I,8))</f>
        <v/>
      </c>
    </row>
  </sheetData>
  <conditionalFormatting sqref="B391:B5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2022-09-17T10:57:43Z</dcterms:modified>
  <cp:lastModifiedBy>Mark Mukherjee</cp:lastModifiedBy>
</cp:coreProperties>
</file>