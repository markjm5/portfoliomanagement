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C25C80EE-A70F-4246-81E2-C290A854B2E1}" xr6:coauthVersionLast="47" xr6:coauthVersionMax="47" xr10:uidLastSave="{00000000-0000-0000-0000-000000000000}"/>
  <bookViews>
    <workbookView xWindow="-53680" yWindow="-320" windowWidth="53640" windowHeight="27800"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35" i="5" l="1"/>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1" i="4"/>
  <c r="C271" i="4"/>
  <c r="B271" i="4"/>
  <c r="D270" i="4"/>
  <c r="C270" i="4"/>
  <c r="B270" i="4"/>
  <c r="D269" i="4"/>
  <c r="C269" i="4"/>
  <c r="O17" i="1" s="1"/>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Q17" i="1" s="1"/>
  <c r="B258" i="4"/>
  <c r="Q16" i="1" s="1"/>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65" i="3"/>
  <c r="F765" i="3" s="1"/>
  <c r="D765" i="3"/>
  <c r="B765" i="3"/>
  <c r="E764" i="3"/>
  <c r="D764" i="3"/>
  <c r="B764" i="3"/>
  <c r="E763" i="3"/>
  <c r="D763" i="3"/>
  <c r="B763" i="3"/>
  <c r="E762" i="3"/>
  <c r="F762" i="3" s="1"/>
  <c r="D762" i="3"/>
  <c r="B762" i="3"/>
  <c r="E761" i="3"/>
  <c r="D761" i="3"/>
  <c r="B761" i="3"/>
  <c r="E760" i="3"/>
  <c r="D760" i="3"/>
  <c r="B760" i="3"/>
  <c r="E759" i="3"/>
  <c r="D759" i="3"/>
  <c r="B759" i="3"/>
  <c r="E758" i="3"/>
  <c r="D758" i="3"/>
  <c r="B758" i="3"/>
  <c r="E757" i="3"/>
  <c r="F757" i="3" s="1"/>
  <c r="D757" i="3"/>
  <c r="B757" i="3"/>
  <c r="E756" i="3"/>
  <c r="D756" i="3"/>
  <c r="B756" i="3"/>
  <c r="E755" i="3"/>
  <c r="D755" i="3"/>
  <c r="B755" i="3"/>
  <c r="E754" i="3"/>
  <c r="D754" i="3"/>
  <c r="B754" i="3"/>
  <c r="E753" i="3"/>
  <c r="F764" i="3" s="1"/>
  <c r="D753" i="3"/>
  <c r="B753" i="3"/>
  <c r="C765" i="3" s="1"/>
  <c r="E752" i="3"/>
  <c r="F763" i="3" s="1"/>
  <c r="D752" i="3"/>
  <c r="B752" i="3"/>
  <c r="C764" i="3" s="1"/>
  <c r="E751" i="3"/>
  <c r="D751" i="3"/>
  <c r="B751" i="3"/>
  <c r="E750" i="3"/>
  <c r="D750" i="3"/>
  <c r="B750" i="3"/>
  <c r="E749" i="3"/>
  <c r="D749" i="3"/>
  <c r="B749" i="3"/>
  <c r="E748" i="3"/>
  <c r="D748" i="3"/>
  <c r="B748" i="3"/>
  <c r="C760" i="3" s="1"/>
  <c r="E747" i="3"/>
  <c r="D747" i="3"/>
  <c r="B747" i="3"/>
  <c r="E746" i="3"/>
  <c r="D746" i="3"/>
  <c r="B746" i="3"/>
  <c r="E745" i="3"/>
  <c r="D745" i="3"/>
  <c r="B745" i="3"/>
  <c r="C757" i="3" s="1"/>
  <c r="E744" i="3"/>
  <c r="D744" i="3"/>
  <c r="B744" i="3"/>
  <c r="E743" i="3"/>
  <c r="F743" i="3" s="1"/>
  <c r="D743" i="3"/>
  <c r="B743" i="3"/>
  <c r="E742" i="3"/>
  <c r="D742" i="3"/>
  <c r="B742" i="3"/>
  <c r="E741" i="3"/>
  <c r="D741" i="3"/>
  <c r="B741" i="3"/>
  <c r="E740" i="3"/>
  <c r="D740" i="3"/>
  <c r="B740" i="3"/>
  <c r="C752" i="3" s="1"/>
  <c r="E739" i="3"/>
  <c r="D739" i="3"/>
  <c r="B739" i="3"/>
  <c r="C751" i="3" s="1"/>
  <c r="E738" i="3"/>
  <c r="D738" i="3"/>
  <c r="B738" i="3"/>
  <c r="E737" i="3"/>
  <c r="D737" i="3"/>
  <c r="B737" i="3"/>
  <c r="E736" i="3"/>
  <c r="F747" i="3" s="1"/>
  <c r="D736" i="3"/>
  <c r="B736" i="3"/>
  <c r="E735" i="3"/>
  <c r="F735" i="3" s="1"/>
  <c r="D735" i="3"/>
  <c r="B735" i="3"/>
  <c r="E734" i="3"/>
  <c r="D734" i="3"/>
  <c r="B734" i="3"/>
  <c r="E733" i="3"/>
  <c r="D733" i="3"/>
  <c r="B733" i="3"/>
  <c r="E732" i="3"/>
  <c r="D732" i="3"/>
  <c r="B732" i="3"/>
  <c r="C744" i="3" s="1"/>
  <c r="E731" i="3"/>
  <c r="F742" i="3" s="1"/>
  <c r="D731" i="3"/>
  <c r="B731" i="3"/>
  <c r="E730" i="3"/>
  <c r="D730" i="3"/>
  <c r="B730" i="3"/>
  <c r="E729" i="3"/>
  <c r="D729" i="3"/>
  <c r="B729" i="3"/>
  <c r="E728" i="3"/>
  <c r="F739" i="3" s="1"/>
  <c r="D728" i="3"/>
  <c r="B728" i="3"/>
  <c r="E727" i="3"/>
  <c r="F727" i="3" s="1"/>
  <c r="D727" i="3"/>
  <c r="B727" i="3"/>
  <c r="E726" i="3"/>
  <c r="F737" i="3" s="1"/>
  <c r="D726" i="3"/>
  <c r="B726" i="3"/>
  <c r="E725" i="3"/>
  <c r="D725" i="3"/>
  <c r="B725" i="3"/>
  <c r="E724" i="3"/>
  <c r="D724" i="3"/>
  <c r="B724" i="3"/>
  <c r="C736" i="3" s="1"/>
  <c r="E723" i="3"/>
  <c r="F734" i="3" s="1"/>
  <c r="D723" i="3"/>
  <c r="B723" i="3"/>
  <c r="E722" i="3"/>
  <c r="D722" i="3"/>
  <c r="B722" i="3"/>
  <c r="E721" i="3"/>
  <c r="F732" i="3" s="1"/>
  <c r="D721" i="3"/>
  <c r="B721" i="3"/>
  <c r="E720" i="3"/>
  <c r="D720" i="3"/>
  <c r="B720" i="3"/>
  <c r="C732" i="3" s="1"/>
  <c r="E719" i="3"/>
  <c r="D719" i="3"/>
  <c r="B719" i="3"/>
  <c r="E718" i="3"/>
  <c r="F729" i="3" s="1"/>
  <c r="D718" i="3"/>
  <c r="B718" i="3"/>
  <c r="E717" i="3"/>
  <c r="D717" i="3"/>
  <c r="B717" i="3"/>
  <c r="E716" i="3"/>
  <c r="D716" i="3"/>
  <c r="B716" i="3"/>
  <c r="C728" i="3" s="1"/>
  <c r="E715" i="3"/>
  <c r="D715" i="3"/>
  <c r="B715" i="3"/>
  <c r="E714" i="3"/>
  <c r="D714" i="3"/>
  <c r="B714" i="3"/>
  <c r="E713" i="3"/>
  <c r="F724" i="3" s="1"/>
  <c r="D713" i="3"/>
  <c r="B713" i="3"/>
  <c r="C725" i="3" s="1"/>
  <c r="E712" i="3"/>
  <c r="D712" i="3"/>
  <c r="B712" i="3"/>
  <c r="E711" i="3"/>
  <c r="D711" i="3"/>
  <c r="B711" i="3"/>
  <c r="E710" i="3"/>
  <c r="D710" i="3"/>
  <c r="B710" i="3"/>
  <c r="E709" i="3"/>
  <c r="D709" i="3"/>
  <c r="B709" i="3"/>
  <c r="E708" i="3"/>
  <c r="D708" i="3"/>
  <c r="B708" i="3"/>
  <c r="E707" i="3"/>
  <c r="D707" i="3"/>
  <c r="B707" i="3"/>
  <c r="E706" i="3"/>
  <c r="F706" i="3" s="1"/>
  <c r="D706" i="3"/>
  <c r="B706" i="3"/>
  <c r="E705" i="3"/>
  <c r="D705" i="3"/>
  <c r="B705" i="3"/>
  <c r="E704" i="3"/>
  <c r="D704" i="3"/>
  <c r="B704" i="3"/>
  <c r="E703" i="3"/>
  <c r="D703" i="3"/>
  <c r="B703" i="3"/>
  <c r="E702" i="3"/>
  <c r="D702" i="3"/>
  <c r="B702" i="3"/>
  <c r="E701" i="3"/>
  <c r="F712" i="3" s="1"/>
  <c r="D701" i="3"/>
  <c r="B701" i="3"/>
  <c r="E700" i="3"/>
  <c r="D700" i="3"/>
  <c r="B700" i="3"/>
  <c r="E699" i="3"/>
  <c r="F710" i="3" s="1"/>
  <c r="D699" i="3"/>
  <c r="B699" i="3"/>
  <c r="E698" i="3"/>
  <c r="F698" i="3" s="1"/>
  <c r="D698" i="3"/>
  <c r="B698" i="3"/>
  <c r="E697" i="3"/>
  <c r="D697" i="3"/>
  <c r="B697" i="3"/>
  <c r="C709" i="3" s="1"/>
  <c r="E696" i="3"/>
  <c r="D696" i="3"/>
  <c r="B696" i="3"/>
  <c r="C708" i="3" s="1"/>
  <c r="E695" i="3"/>
  <c r="D695" i="3"/>
  <c r="B695" i="3"/>
  <c r="E694" i="3"/>
  <c r="F705" i="3" s="1"/>
  <c r="D694" i="3"/>
  <c r="B694" i="3"/>
  <c r="E693" i="3"/>
  <c r="F704" i="3" s="1"/>
  <c r="D693" i="3"/>
  <c r="B693" i="3"/>
  <c r="E692" i="3"/>
  <c r="D692" i="3"/>
  <c r="B692" i="3"/>
  <c r="E691" i="3"/>
  <c r="D691" i="3"/>
  <c r="B691" i="3"/>
  <c r="E690" i="3"/>
  <c r="D690" i="3"/>
  <c r="B690" i="3"/>
  <c r="E689" i="3"/>
  <c r="F700" i="3" s="1"/>
  <c r="D689" i="3"/>
  <c r="B689" i="3"/>
  <c r="C701" i="3" s="1"/>
  <c r="E688" i="3"/>
  <c r="D688" i="3"/>
  <c r="B688" i="3"/>
  <c r="E687" i="3"/>
  <c r="D687" i="3"/>
  <c r="B687" i="3"/>
  <c r="E686" i="3"/>
  <c r="F697" i="3" s="1"/>
  <c r="D686" i="3"/>
  <c r="B686" i="3"/>
  <c r="E685" i="3"/>
  <c r="D685" i="3"/>
  <c r="B685" i="3"/>
  <c r="E684" i="3"/>
  <c r="D684" i="3"/>
  <c r="B684" i="3"/>
  <c r="E683" i="3"/>
  <c r="D683" i="3"/>
  <c r="B683" i="3"/>
  <c r="C695" i="3" s="1"/>
  <c r="E682" i="3"/>
  <c r="D682" i="3"/>
  <c r="B682" i="3"/>
  <c r="E681" i="3"/>
  <c r="F692" i="3" s="1"/>
  <c r="D681" i="3"/>
  <c r="B681" i="3"/>
  <c r="E680" i="3"/>
  <c r="D680" i="3"/>
  <c r="B680" i="3"/>
  <c r="E679" i="3"/>
  <c r="D679" i="3"/>
  <c r="B679" i="3"/>
  <c r="E678" i="3"/>
  <c r="D678" i="3"/>
  <c r="B678" i="3"/>
  <c r="E677" i="3"/>
  <c r="D677" i="3"/>
  <c r="B677" i="3"/>
  <c r="E676" i="3"/>
  <c r="F687" i="3" s="1"/>
  <c r="D676" i="3"/>
  <c r="B676" i="3"/>
  <c r="C688" i="3" s="1"/>
  <c r="E675" i="3"/>
  <c r="D675" i="3"/>
  <c r="B675" i="3"/>
  <c r="E674" i="3"/>
  <c r="D674" i="3"/>
  <c r="B674" i="3"/>
  <c r="E673" i="3"/>
  <c r="D673" i="3"/>
  <c r="B673" i="3"/>
  <c r="E672" i="3"/>
  <c r="F683" i="3" s="1"/>
  <c r="D672" i="3"/>
  <c r="B672" i="3"/>
  <c r="E671" i="3"/>
  <c r="D671" i="3"/>
  <c r="B671" i="3"/>
  <c r="E670" i="3"/>
  <c r="D670" i="3"/>
  <c r="B670" i="3"/>
  <c r="E669" i="3"/>
  <c r="F680" i="3" s="1"/>
  <c r="D669" i="3"/>
  <c r="B669" i="3"/>
  <c r="E668" i="3"/>
  <c r="F679" i="3" s="1"/>
  <c r="D668" i="3"/>
  <c r="B668" i="3"/>
  <c r="C680" i="3" s="1"/>
  <c r="E667" i="3"/>
  <c r="F678" i="3" s="1"/>
  <c r="D667" i="3"/>
  <c r="B667" i="3"/>
  <c r="E666" i="3"/>
  <c r="D666" i="3"/>
  <c r="B666" i="3"/>
  <c r="E665" i="3"/>
  <c r="D665" i="3"/>
  <c r="B665" i="3"/>
  <c r="E664" i="3"/>
  <c r="F675" i="3" s="1"/>
  <c r="D664" i="3"/>
  <c r="B664" i="3"/>
  <c r="C676" i="3" s="1"/>
  <c r="E663" i="3"/>
  <c r="D663" i="3"/>
  <c r="B663" i="3"/>
  <c r="E662" i="3"/>
  <c r="D662" i="3"/>
  <c r="B662" i="3"/>
  <c r="E661" i="3"/>
  <c r="D661" i="3"/>
  <c r="B661" i="3"/>
  <c r="E660" i="3"/>
  <c r="D660" i="3"/>
  <c r="B660" i="3"/>
  <c r="E659" i="3"/>
  <c r="F670" i="3" s="1"/>
  <c r="D659" i="3"/>
  <c r="B659" i="3"/>
  <c r="E658" i="3"/>
  <c r="D658" i="3"/>
  <c r="B658" i="3"/>
  <c r="E657" i="3"/>
  <c r="D657" i="3"/>
  <c r="B657" i="3"/>
  <c r="C669" i="3" s="1"/>
  <c r="E656" i="3"/>
  <c r="F667" i="3" s="1"/>
  <c r="D656" i="3"/>
  <c r="B656" i="3"/>
  <c r="C668" i="3" s="1"/>
  <c r="E655" i="3"/>
  <c r="D655" i="3"/>
  <c r="B655" i="3"/>
  <c r="E654" i="3"/>
  <c r="D654" i="3"/>
  <c r="B654" i="3"/>
  <c r="E653" i="3"/>
  <c r="D653" i="3"/>
  <c r="B653" i="3"/>
  <c r="E652" i="3"/>
  <c r="D652" i="3"/>
  <c r="B652" i="3"/>
  <c r="E651" i="3"/>
  <c r="D651" i="3"/>
  <c r="B651" i="3"/>
  <c r="C663" i="3" s="1"/>
  <c r="E650" i="3"/>
  <c r="D650" i="3"/>
  <c r="B650" i="3"/>
  <c r="E649" i="3"/>
  <c r="D649" i="3"/>
  <c r="B649" i="3"/>
  <c r="C661" i="3" s="1"/>
  <c r="E648" i="3"/>
  <c r="D648" i="3"/>
  <c r="B648" i="3"/>
  <c r="E647" i="3"/>
  <c r="F647" i="3" s="1"/>
  <c r="D647" i="3"/>
  <c r="B647" i="3"/>
  <c r="E646" i="3"/>
  <c r="D646" i="3"/>
  <c r="B646" i="3"/>
  <c r="E645" i="3"/>
  <c r="F656" i="3" s="1"/>
  <c r="D645" i="3"/>
  <c r="B645" i="3"/>
  <c r="E644" i="3"/>
  <c r="D644" i="3"/>
  <c r="B644" i="3"/>
  <c r="E643" i="3"/>
  <c r="D643" i="3"/>
  <c r="B643" i="3"/>
  <c r="C655" i="3" s="1"/>
  <c r="E642" i="3"/>
  <c r="D642" i="3"/>
  <c r="B642" i="3"/>
  <c r="E641" i="3"/>
  <c r="D641" i="3"/>
  <c r="B641" i="3"/>
  <c r="E640" i="3"/>
  <c r="D640" i="3"/>
  <c r="B640" i="3"/>
  <c r="C652" i="3" s="1"/>
  <c r="E639" i="3"/>
  <c r="F639" i="3" s="1"/>
  <c r="D639" i="3"/>
  <c r="B639" i="3"/>
  <c r="E638" i="3"/>
  <c r="D638" i="3"/>
  <c r="B638" i="3"/>
  <c r="E637" i="3"/>
  <c r="F648" i="3" s="1"/>
  <c r="D637" i="3"/>
  <c r="B637" i="3"/>
  <c r="E636" i="3"/>
  <c r="D636" i="3"/>
  <c r="B636" i="3"/>
  <c r="E635" i="3"/>
  <c r="D635" i="3"/>
  <c r="B635" i="3"/>
  <c r="C647" i="3" s="1"/>
  <c r="E634" i="3"/>
  <c r="F634" i="3" s="1"/>
  <c r="D634" i="3"/>
  <c r="B634" i="3"/>
  <c r="E633" i="3"/>
  <c r="D633" i="3"/>
  <c r="B633" i="3"/>
  <c r="E632" i="3"/>
  <c r="F643" i="3" s="1"/>
  <c r="D632" i="3"/>
  <c r="B632" i="3"/>
  <c r="E631" i="3"/>
  <c r="F631" i="3" s="1"/>
  <c r="D631" i="3"/>
  <c r="B631" i="3"/>
  <c r="E630" i="3"/>
  <c r="F641" i="3" s="1"/>
  <c r="D630" i="3"/>
  <c r="B630" i="3"/>
  <c r="E629" i="3"/>
  <c r="F640" i="3" s="1"/>
  <c r="D629" i="3"/>
  <c r="B629" i="3"/>
  <c r="E628" i="3"/>
  <c r="D628" i="3"/>
  <c r="B628" i="3"/>
  <c r="E627" i="3"/>
  <c r="D627" i="3"/>
  <c r="B627" i="3"/>
  <c r="E626" i="3"/>
  <c r="D626" i="3"/>
  <c r="B626" i="3"/>
  <c r="E625" i="3"/>
  <c r="F636" i="3" s="1"/>
  <c r="D625" i="3"/>
  <c r="B625" i="3"/>
  <c r="C637" i="3" s="1"/>
  <c r="E624" i="3"/>
  <c r="F635" i="3" s="1"/>
  <c r="D624" i="3"/>
  <c r="B624" i="3"/>
  <c r="E623" i="3"/>
  <c r="D623" i="3"/>
  <c r="B623" i="3"/>
  <c r="E622" i="3"/>
  <c r="F633" i="3" s="1"/>
  <c r="D622" i="3"/>
  <c r="B622" i="3"/>
  <c r="E621" i="3"/>
  <c r="D621" i="3"/>
  <c r="B621" i="3"/>
  <c r="E620" i="3"/>
  <c r="D620" i="3"/>
  <c r="B620" i="3"/>
  <c r="E619" i="3"/>
  <c r="D619" i="3"/>
  <c r="B619" i="3"/>
  <c r="C631" i="3" s="1"/>
  <c r="E618" i="3"/>
  <c r="D618" i="3"/>
  <c r="B618" i="3"/>
  <c r="E617" i="3"/>
  <c r="F628" i="3" s="1"/>
  <c r="D617" i="3"/>
  <c r="B617" i="3"/>
  <c r="C629" i="3" s="1"/>
  <c r="E616" i="3"/>
  <c r="D616" i="3"/>
  <c r="B616" i="3"/>
  <c r="E615" i="3"/>
  <c r="D615" i="3"/>
  <c r="B615" i="3"/>
  <c r="E614" i="3"/>
  <c r="D614" i="3"/>
  <c r="B614" i="3"/>
  <c r="E613" i="3"/>
  <c r="F624" i="3" s="1"/>
  <c r="D613" i="3"/>
  <c r="B613" i="3"/>
  <c r="E612" i="3"/>
  <c r="D612" i="3"/>
  <c r="B612" i="3"/>
  <c r="E611" i="3"/>
  <c r="D611" i="3"/>
  <c r="B611" i="3"/>
  <c r="E610" i="3"/>
  <c r="F610" i="3" s="1"/>
  <c r="D610" i="3"/>
  <c r="B610" i="3"/>
  <c r="E609" i="3"/>
  <c r="D609" i="3"/>
  <c r="B609" i="3"/>
  <c r="E608" i="3"/>
  <c r="F619" i="3" s="1"/>
  <c r="D608" i="3"/>
  <c r="B608" i="3"/>
  <c r="C620" i="3" s="1"/>
  <c r="E607" i="3"/>
  <c r="F607" i="3" s="1"/>
  <c r="D607" i="3"/>
  <c r="B607" i="3"/>
  <c r="E606" i="3"/>
  <c r="D606" i="3"/>
  <c r="B606" i="3"/>
  <c r="E605" i="3"/>
  <c r="F616" i="3" s="1"/>
  <c r="D605" i="3"/>
  <c r="B605" i="3"/>
  <c r="E604" i="3"/>
  <c r="D604" i="3"/>
  <c r="B604" i="3"/>
  <c r="C616" i="3" s="1"/>
  <c r="E603" i="3"/>
  <c r="F614" i="3" s="1"/>
  <c r="D603" i="3"/>
  <c r="B603" i="3"/>
  <c r="E602" i="3"/>
  <c r="D602" i="3"/>
  <c r="B602" i="3"/>
  <c r="E601" i="3"/>
  <c r="D601" i="3"/>
  <c r="B601" i="3"/>
  <c r="C613" i="3" s="1"/>
  <c r="E600" i="3"/>
  <c r="F611" i="3" s="1"/>
  <c r="D600" i="3"/>
  <c r="B600" i="3"/>
  <c r="C612" i="3" s="1"/>
  <c r="E599" i="3"/>
  <c r="D599" i="3"/>
  <c r="B599" i="3"/>
  <c r="E598" i="3"/>
  <c r="D598" i="3"/>
  <c r="B598" i="3"/>
  <c r="F597" i="3"/>
  <c r="E597" i="3"/>
  <c r="D597" i="3"/>
  <c r="B597" i="3"/>
  <c r="E596" i="3"/>
  <c r="D596" i="3"/>
  <c r="B596" i="3"/>
  <c r="E595" i="3"/>
  <c r="F606" i="3" s="1"/>
  <c r="D595" i="3"/>
  <c r="B595" i="3"/>
  <c r="E594" i="3"/>
  <c r="D594" i="3"/>
  <c r="B594" i="3"/>
  <c r="E593" i="3"/>
  <c r="D593" i="3"/>
  <c r="B593" i="3"/>
  <c r="C605" i="3" s="1"/>
  <c r="E592" i="3"/>
  <c r="F603" i="3" s="1"/>
  <c r="D592" i="3"/>
  <c r="B592" i="3"/>
  <c r="E591" i="3"/>
  <c r="D591" i="3"/>
  <c r="B591" i="3"/>
  <c r="E590" i="3"/>
  <c r="F601" i="3" s="1"/>
  <c r="D590" i="3"/>
  <c r="B590" i="3"/>
  <c r="E589" i="3"/>
  <c r="D589" i="3"/>
  <c r="B589" i="3"/>
  <c r="E588" i="3"/>
  <c r="D588" i="3"/>
  <c r="B588" i="3"/>
  <c r="C600" i="3" s="1"/>
  <c r="E587" i="3"/>
  <c r="D587" i="3"/>
  <c r="B587" i="3"/>
  <c r="C599" i="3" s="1"/>
  <c r="E586" i="3"/>
  <c r="D586" i="3"/>
  <c r="B586" i="3"/>
  <c r="E585" i="3"/>
  <c r="D585" i="3"/>
  <c r="B585" i="3"/>
  <c r="E584" i="3"/>
  <c r="D584" i="3"/>
  <c r="B584" i="3"/>
  <c r="E583" i="3"/>
  <c r="F583" i="3" s="1"/>
  <c r="D583" i="3"/>
  <c r="B583" i="3"/>
  <c r="E582" i="3"/>
  <c r="D582" i="3"/>
  <c r="B582" i="3"/>
  <c r="E581" i="3"/>
  <c r="D581" i="3"/>
  <c r="B581" i="3"/>
  <c r="E580" i="3"/>
  <c r="D580" i="3"/>
  <c r="B580" i="3"/>
  <c r="E579" i="3"/>
  <c r="D579" i="3"/>
  <c r="B579" i="3"/>
  <c r="E578" i="3"/>
  <c r="D578" i="3"/>
  <c r="B578" i="3"/>
  <c r="E577" i="3"/>
  <c r="D577" i="3"/>
  <c r="B577" i="3"/>
  <c r="E576" i="3"/>
  <c r="F587" i="3" s="1"/>
  <c r="D576" i="3"/>
  <c r="B576" i="3"/>
  <c r="F575" i="3"/>
  <c r="E575" i="3"/>
  <c r="D575" i="3"/>
  <c r="B575" i="3"/>
  <c r="E574" i="3"/>
  <c r="D574" i="3"/>
  <c r="B574" i="3"/>
  <c r="E573" i="3"/>
  <c r="D573" i="3"/>
  <c r="B573" i="3"/>
  <c r="E572" i="3"/>
  <c r="D572" i="3"/>
  <c r="B572" i="3"/>
  <c r="E571" i="3"/>
  <c r="F582" i="3" s="1"/>
  <c r="D571" i="3"/>
  <c r="B571" i="3"/>
  <c r="E570" i="3"/>
  <c r="F570" i="3" s="1"/>
  <c r="D570" i="3"/>
  <c r="B570" i="3"/>
  <c r="E569" i="3"/>
  <c r="D569" i="3"/>
  <c r="B569" i="3"/>
  <c r="E568" i="3"/>
  <c r="D568" i="3"/>
  <c r="B568" i="3"/>
  <c r="C580" i="3" s="1"/>
  <c r="E567" i="3"/>
  <c r="D567" i="3"/>
  <c r="B567" i="3"/>
  <c r="E566" i="3"/>
  <c r="F577" i="3" s="1"/>
  <c r="D566" i="3"/>
  <c r="B566" i="3"/>
  <c r="E565" i="3"/>
  <c r="F576" i="3" s="1"/>
  <c r="D565" i="3"/>
  <c r="B565" i="3"/>
  <c r="E564" i="3"/>
  <c r="D564" i="3"/>
  <c r="B564" i="3"/>
  <c r="C576" i="3" s="1"/>
  <c r="E563" i="3"/>
  <c r="D563" i="3"/>
  <c r="B563" i="3"/>
  <c r="E562" i="3"/>
  <c r="D562" i="3"/>
  <c r="B562" i="3"/>
  <c r="E561" i="3"/>
  <c r="D561" i="3"/>
  <c r="B561" i="3"/>
  <c r="C573" i="3" s="1"/>
  <c r="E560" i="3"/>
  <c r="D560" i="3"/>
  <c r="B560" i="3"/>
  <c r="E559" i="3"/>
  <c r="D559" i="3"/>
  <c r="B559" i="3"/>
  <c r="E558" i="3"/>
  <c r="F569" i="3" s="1"/>
  <c r="D558" i="3"/>
  <c r="B558" i="3"/>
  <c r="E557" i="3"/>
  <c r="D557" i="3"/>
  <c r="B557" i="3"/>
  <c r="E556" i="3"/>
  <c r="D556" i="3"/>
  <c r="B556" i="3"/>
  <c r="E555" i="3"/>
  <c r="D555" i="3"/>
  <c r="B555" i="3"/>
  <c r="C567" i="3" s="1"/>
  <c r="E554" i="3"/>
  <c r="D554" i="3"/>
  <c r="B554" i="3"/>
  <c r="E553" i="3"/>
  <c r="D553" i="3"/>
  <c r="B553" i="3"/>
  <c r="E552" i="3"/>
  <c r="D552" i="3"/>
  <c r="B552" i="3"/>
  <c r="E551" i="3"/>
  <c r="D551" i="3"/>
  <c r="B551" i="3"/>
  <c r="E550" i="3"/>
  <c r="D550" i="3"/>
  <c r="B550" i="3"/>
  <c r="E549" i="3"/>
  <c r="F560" i="3" s="1"/>
  <c r="D549" i="3"/>
  <c r="B549" i="3"/>
  <c r="E548" i="3"/>
  <c r="D548" i="3"/>
  <c r="B548" i="3"/>
  <c r="C560" i="3" s="1"/>
  <c r="E547" i="3"/>
  <c r="D547" i="3"/>
  <c r="B547" i="3"/>
  <c r="C559" i="3" s="1"/>
  <c r="E546" i="3"/>
  <c r="D546" i="3"/>
  <c r="B546" i="3"/>
  <c r="E545" i="3"/>
  <c r="D545" i="3"/>
  <c r="B545" i="3"/>
  <c r="E544" i="3"/>
  <c r="F555" i="3" s="1"/>
  <c r="D544" i="3"/>
  <c r="B544" i="3"/>
  <c r="E543" i="3"/>
  <c r="D543" i="3"/>
  <c r="B543" i="3"/>
  <c r="E542" i="3"/>
  <c r="D542" i="3"/>
  <c r="B542" i="3"/>
  <c r="E541" i="3"/>
  <c r="F552" i="3" s="1"/>
  <c r="D541" i="3"/>
  <c r="B541" i="3"/>
  <c r="E540" i="3"/>
  <c r="D540" i="3"/>
  <c r="B540" i="3"/>
  <c r="C552" i="3" s="1"/>
  <c r="E539" i="3"/>
  <c r="D539" i="3"/>
  <c r="B539" i="3"/>
  <c r="C551" i="3" s="1"/>
  <c r="E538" i="3"/>
  <c r="D538" i="3"/>
  <c r="B538" i="3"/>
  <c r="E537" i="3"/>
  <c r="D537" i="3"/>
  <c r="B537" i="3"/>
  <c r="E536" i="3"/>
  <c r="F547" i="3" s="1"/>
  <c r="D536" i="3"/>
  <c r="B536" i="3"/>
  <c r="E535" i="3"/>
  <c r="D535" i="3"/>
  <c r="B535" i="3"/>
  <c r="E534" i="3"/>
  <c r="F545" i="3" s="1"/>
  <c r="D534" i="3"/>
  <c r="B534" i="3"/>
  <c r="E533" i="3"/>
  <c r="F544" i="3" s="1"/>
  <c r="D533" i="3"/>
  <c r="B533" i="3"/>
  <c r="E532" i="3"/>
  <c r="F532" i="3" s="1"/>
  <c r="D532" i="3"/>
  <c r="B532" i="3"/>
  <c r="E531" i="3"/>
  <c r="D531" i="3"/>
  <c r="B531" i="3"/>
  <c r="C543" i="3" s="1"/>
  <c r="E530" i="3"/>
  <c r="D530" i="3"/>
  <c r="B530" i="3"/>
  <c r="E529" i="3"/>
  <c r="D529" i="3"/>
  <c r="B529" i="3"/>
  <c r="E528" i="3"/>
  <c r="D528" i="3"/>
  <c r="B528" i="3"/>
  <c r="E527" i="3"/>
  <c r="F527" i="3" s="1"/>
  <c r="D527" i="3"/>
  <c r="B527" i="3"/>
  <c r="E526" i="3"/>
  <c r="F537" i="3" s="1"/>
  <c r="D526" i="3"/>
  <c r="B526" i="3"/>
  <c r="C538" i="3" s="1"/>
  <c r="E525" i="3"/>
  <c r="F536" i="3" s="1"/>
  <c r="D525" i="3"/>
  <c r="B525" i="3"/>
  <c r="E524" i="3"/>
  <c r="F524" i="3" s="1"/>
  <c r="D524" i="3"/>
  <c r="B524" i="3"/>
  <c r="C536" i="3" s="1"/>
  <c r="E523" i="3"/>
  <c r="D523" i="3"/>
  <c r="B523" i="3"/>
  <c r="E522" i="3"/>
  <c r="D522" i="3"/>
  <c r="B522" i="3"/>
  <c r="E521" i="3"/>
  <c r="D521" i="3"/>
  <c r="B521" i="3"/>
  <c r="C533" i="3" s="1"/>
  <c r="E520" i="3"/>
  <c r="F531" i="3" s="1"/>
  <c r="D520" i="3"/>
  <c r="B520" i="3"/>
  <c r="C532" i="3" s="1"/>
  <c r="E519" i="3"/>
  <c r="D519" i="3"/>
  <c r="B519" i="3"/>
  <c r="E518" i="3"/>
  <c r="D518" i="3"/>
  <c r="B518" i="3"/>
  <c r="E517" i="3"/>
  <c r="F528" i="3" s="1"/>
  <c r="D517" i="3"/>
  <c r="B517" i="3"/>
  <c r="E516" i="3"/>
  <c r="D516" i="3"/>
  <c r="B516" i="3"/>
  <c r="E515" i="3"/>
  <c r="D515" i="3"/>
  <c r="B515" i="3"/>
  <c r="C527" i="3" s="1"/>
  <c r="E514" i="3"/>
  <c r="D514" i="3"/>
  <c r="B514" i="3"/>
  <c r="E513" i="3"/>
  <c r="D513" i="3"/>
  <c r="B513" i="3"/>
  <c r="E512" i="3"/>
  <c r="D512" i="3"/>
  <c r="B512" i="3"/>
  <c r="C524" i="3" s="1"/>
  <c r="E511" i="3"/>
  <c r="D511" i="3"/>
  <c r="B511" i="3"/>
  <c r="E510" i="3"/>
  <c r="F521" i="3" s="1"/>
  <c r="D510" i="3"/>
  <c r="B510" i="3"/>
  <c r="E509" i="3"/>
  <c r="D509" i="3"/>
  <c r="B509" i="3"/>
  <c r="E508" i="3"/>
  <c r="D508" i="3"/>
  <c r="B508" i="3"/>
  <c r="E507" i="3"/>
  <c r="F518" i="3" s="1"/>
  <c r="D507" i="3"/>
  <c r="B507" i="3"/>
  <c r="C519" i="3" s="1"/>
  <c r="E506" i="3"/>
  <c r="D506" i="3"/>
  <c r="B506" i="3"/>
  <c r="E505" i="3"/>
  <c r="D505" i="3"/>
  <c r="B505" i="3"/>
  <c r="E504" i="3"/>
  <c r="D504" i="3"/>
  <c r="B504" i="3"/>
  <c r="E503" i="3"/>
  <c r="F503" i="3" s="1"/>
  <c r="D503" i="3"/>
  <c r="B503" i="3"/>
  <c r="E502" i="3"/>
  <c r="F513" i="3" s="1"/>
  <c r="D502" i="3"/>
  <c r="B502" i="3"/>
  <c r="C514" i="3" s="1"/>
  <c r="E501" i="3"/>
  <c r="D501" i="3"/>
  <c r="B501" i="3"/>
  <c r="E500" i="3"/>
  <c r="D500" i="3"/>
  <c r="B500" i="3"/>
  <c r="E499" i="3"/>
  <c r="D499" i="3"/>
  <c r="B499" i="3"/>
  <c r="E498" i="3"/>
  <c r="D498" i="3"/>
  <c r="B498" i="3"/>
  <c r="E497" i="3"/>
  <c r="D497" i="3"/>
  <c r="B497" i="3"/>
  <c r="E496" i="3"/>
  <c r="D496" i="3"/>
  <c r="B496" i="3"/>
  <c r="C508" i="3" s="1"/>
  <c r="E495" i="3"/>
  <c r="F495" i="3" s="1"/>
  <c r="D495" i="3"/>
  <c r="B495" i="3"/>
  <c r="E494" i="3"/>
  <c r="D494" i="3"/>
  <c r="B494" i="3"/>
  <c r="E493" i="3"/>
  <c r="F504" i="3" s="1"/>
  <c r="D493" i="3"/>
  <c r="B493" i="3"/>
  <c r="E492" i="3"/>
  <c r="D492" i="3"/>
  <c r="B492" i="3"/>
  <c r="E491" i="3"/>
  <c r="D491" i="3"/>
  <c r="B491" i="3"/>
  <c r="C503" i="3" s="1"/>
  <c r="E490" i="3"/>
  <c r="F490" i="3" s="1"/>
  <c r="D490" i="3"/>
  <c r="B490" i="3"/>
  <c r="E489" i="3"/>
  <c r="D489" i="3"/>
  <c r="B489" i="3"/>
  <c r="E488" i="3"/>
  <c r="D488" i="3"/>
  <c r="B488" i="3"/>
  <c r="C500" i="3" s="1"/>
  <c r="F487" i="3"/>
  <c r="E487" i="3"/>
  <c r="D487" i="3"/>
  <c r="B487" i="3"/>
  <c r="E486" i="3"/>
  <c r="D486" i="3"/>
  <c r="B486" i="3"/>
  <c r="C498" i="3" s="1"/>
  <c r="E485" i="3"/>
  <c r="F496" i="3" s="1"/>
  <c r="D485" i="3"/>
  <c r="B485" i="3"/>
  <c r="E484" i="3"/>
  <c r="D484" i="3"/>
  <c r="B484" i="3"/>
  <c r="E483" i="3"/>
  <c r="D483" i="3"/>
  <c r="B483" i="3"/>
  <c r="C495" i="3" s="1"/>
  <c r="E482" i="3"/>
  <c r="F482" i="3" s="1"/>
  <c r="D482" i="3"/>
  <c r="B482" i="3"/>
  <c r="E481" i="3"/>
  <c r="D481" i="3"/>
  <c r="B481" i="3"/>
  <c r="E480" i="3"/>
  <c r="F491" i="3" s="1"/>
  <c r="D480" i="3"/>
  <c r="B480" i="3"/>
  <c r="C492" i="3" s="1"/>
  <c r="E479" i="3"/>
  <c r="D479" i="3"/>
  <c r="B479" i="3"/>
  <c r="E478" i="3"/>
  <c r="F489" i="3" s="1"/>
  <c r="D478" i="3"/>
  <c r="B478" i="3"/>
  <c r="C490" i="3" s="1"/>
  <c r="E477" i="3"/>
  <c r="F488" i="3" s="1"/>
  <c r="D477" i="3"/>
  <c r="B477" i="3"/>
  <c r="E476" i="3"/>
  <c r="D476" i="3"/>
  <c r="B476" i="3"/>
  <c r="E475" i="3"/>
  <c r="F486" i="3" s="1"/>
  <c r="D475" i="3"/>
  <c r="B475" i="3"/>
  <c r="C487" i="3" s="1"/>
  <c r="E474" i="3"/>
  <c r="D474" i="3"/>
  <c r="B474" i="3"/>
  <c r="E473" i="3"/>
  <c r="D473" i="3"/>
  <c r="B473" i="3"/>
  <c r="C485" i="3" s="1"/>
  <c r="E472" i="3"/>
  <c r="F483" i="3" s="1"/>
  <c r="D472" i="3"/>
  <c r="B472" i="3"/>
  <c r="C484" i="3" s="1"/>
  <c r="E471" i="3"/>
  <c r="D471" i="3"/>
  <c r="B471" i="3"/>
  <c r="E470" i="3"/>
  <c r="D470" i="3"/>
  <c r="B470" i="3"/>
  <c r="C482" i="3" s="1"/>
  <c r="E469" i="3"/>
  <c r="D469" i="3"/>
  <c r="B469" i="3"/>
  <c r="E468" i="3"/>
  <c r="D468" i="3"/>
  <c r="B468" i="3"/>
  <c r="E467" i="3"/>
  <c r="F478" i="3" s="1"/>
  <c r="D467" i="3"/>
  <c r="B467" i="3"/>
  <c r="C479" i="3" s="1"/>
  <c r="E466" i="3"/>
  <c r="D466" i="3"/>
  <c r="B466" i="3"/>
  <c r="E465" i="3"/>
  <c r="D465" i="3"/>
  <c r="B465" i="3"/>
  <c r="C477" i="3" s="1"/>
  <c r="E464" i="3"/>
  <c r="D464" i="3"/>
  <c r="B464" i="3"/>
  <c r="E463" i="3"/>
  <c r="D463" i="3"/>
  <c r="B463" i="3"/>
  <c r="E462" i="3"/>
  <c r="D462" i="3"/>
  <c r="B462" i="3"/>
  <c r="C474" i="3" s="1"/>
  <c r="E461" i="3"/>
  <c r="D461" i="3"/>
  <c r="B461" i="3"/>
  <c r="E460" i="3"/>
  <c r="D460" i="3"/>
  <c r="B460" i="3"/>
  <c r="E459" i="3"/>
  <c r="D459" i="3"/>
  <c r="B459" i="3"/>
  <c r="E458" i="3"/>
  <c r="D458" i="3"/>
  <c r="B458" i="3"/>
  <c r="E457" i="3"/>
  <c r="D457" i="3"/>
  <c r="B457" i="3"/>
  <c r="C469" i="3" s="1"/>
  <c r="E456" i="3"/>
  <c r="D456" i="3"/>
  <c r="B456" i="3"/>
  <c r="E455" i="3"/>
  <c r="D455" i="3"/>
  <c r="B455" i="3"/>
  <c r="E454" i="3"/>
  <c r="D454" i="3"/>
  <c r="B454" i="3"/>
  <c r="E453" i="3"/>
  <c r="F464" i="3" s="1"/>
  <c r="D453" i="3"/>
  <c r="B453" i="3"/>
  <c r="E452" i="3"/>
  <c r="D452" i="3"/>
  <c r="B452" i="3"/>
  <c r="E451" i="3"/>
  <c r="D451" i="3"/>
  <c r="B451" i="3"/>
  <c r="C463" i="3" s="1"/>
  <c r="E450" i="3"/>
  <c r="D450" i="3"/>
  <c r="B450" i="3"/>
  <c r="E449" i="3"/>
  <c r="D449" i="3"/>
  <c r="B449" i="3"/>
  <c r="E448" i="3"/>
  <c r="F459" i="3" s="1"/>
  <c r="D448" i="3"/>
  <c r="B448" i="3"/>
  <c r="C460" i="3" s="1"/>
  <c r="E447" i="3"/>
  <c r="D447" i="3"/>
  <c r="B447" i="3"/>
  <c r="E446" i="3"/>
  <c r="D446" i="3"/>
  <c r="B446" i="3"/>
  <c r="E445" i="3"/>
  <c r="F456" i="3" s="1"/>
  <c r="D445" i="3"/>
  <c r="B445" i="3"/>
  <c r="E444" i="3"/>
  <c r="D444" i="3"/>
  <c r="B444" i="3"/>
  <c r="E443" i="3"/>
  <c r="F454" i="3" s="1"/>
  <c r="D443" i="3"/>
  <c r="B443" i="3"/>
  <c r="C455" i="3" s="1"/>
  <c r="E442" i="3"/>
  <c r="D442" i="3"/>
  <c r="B442" i="3"/>
  <c r="E441" i="3"/>
  <c r="D441" i="3"/>
  <c r="B441" i="3"/>
  <c r="E440" i="3"/>
  <c r="F451" i="3" s="1"/>
  <c r="D440" i="3"/>
  <c r="B440" i="3"/>
  <c r="C452" i="3" s="1"/>
  <c r="E439" i="3"/>
  <c r="D439" i="3"/>
  <c r="B439" i="3"/>
  <c r="E438" i="3"/>
  <c r="F449" i="3" s="1"/>
  <c r="D438" i="3"/>
  <c r="B438" i="3"/>
  <c r="C450" i="3" s="1"/>
  <c r="E437" i="3"/>
  <c r="F448" i="3" s="1"/>
  <c r="D437" i="3"/>
  <c r="B437" i="3"/>
  <c r="E436" i="3"/>
  <c r="D436" i="3"/>
  <c r="B436" i="3"/>
  <c r="E435" i="3"/>
  <c r="F446" i="3" s="1"/>
  <c r="D435" i="3"/>
  <c r="B435" i="3"/>
  <c r="C447" i="3" s="1"/>
  <c r="E434" i="3"/>
  <c r="D434" i="3"/>
  <c r="B434" i="3"/>
  <c r="E433" i="3"/>
  <c r="D433" i="3"/>
  <c r="B433" i="3"/>
  <c r="C445" i="3" s="1"/>
  <c r="E432" i="3"/>
  <c r="F443" i="3" s="1"/>
  <c r="D432" i="3"/>
  <c r="B432" i="3"/>
  <c r="E431" i="3"/>
  <c r="D431" i="3"/>
  <c r="B431" i="3"/>
  <c r="E430" i="3"/>
  <c r="F441" i="3" s="1"/>
  <c r="D430" i="3"/>
  <c r="B430" i="3"/>
  <c r="C442" i="3" s="1"/>
  <c r="E429" i="3"/>
  <c r="D429" i="3"/>
  <c r="B429" i="3"/>
  <c r="E428" i="3"/>
  <c r="D428" i="3"/>
  <c r="B428" i="3"/>
  <c r="E427" i="3"/>
  <c r="F438" i="3" s="1"/>
  <c r="D427" i="3"/>
  <c r="B427" i="3"/>
  <c r="C439" i="3" s="1"/>
  <c r="E426" i="3"/>
  <c r="D426" i="3"/>
  <c r="B426" i="3"/>
  <c r="E425" i="3"/>
  <c r="D425" i="3"/>
  <c r="B425" i="3"/>
  <c r="C437" i="3" s="1"/>
  <c r="E424" i="3"/>
  <c r="D424" i="3"/>
  <c r="B424" i="3"/>
  <c r="E423" i="3"/>
  <c r="D423" i="3"/>
  <c r="B423" i="3"/>
  <c r="E422" i="3"/>
  <c r="F433" i="3" s="1"/>
  <c r="D422" i="3"/>
  <c r="B422" i="3"/>
  <c r="C434" i="3" s="1"/>
  <c r="E421" i="3"/>
  <c r="D421" i="3"/>
  <c r="B421" i="3"/>
  <c r="E420" i="3"/>
  <c r="F431" i="3" s="1"/>
  <c r="D420" i="3"/>
  <c r="B420" i="3"/>
  <c r="C432" i="3" s="1"/>
  <c r="E419" i="3"/>
  <c r="D419" i="3"/>
  <c r="B419" i="3"/>
  <c r="E418" i="3"/>
  <c r="D418" i="3"/>
  <c r="B418" i="3"/>
  <c r="E417" i="3"/>
  <c r="D417" i="3"/>
  <c r="B417" i="3"/>
  <c r="E416" i="3"/>
  <c r="D416" i="3"/>
  <c r="B416" i="3"/>
  <c r="E415" i="3"/>
  <c r="F426" i="3" s="1"/>
  <c r="D415" i="3"/>
  <c r="B415" i="3"/>
  <c r="E414" i="3"/>
  <c r="D414" i="3"/>
  <c r="B414" i="3"/>
  <c r="E413" i="3"/>
  <c r="F424" i="3" s="1"/>
  <c r="D413" i="3"/>
  <c r="B413" i="3"/>
  <c r="E412" i="3"/>
  <c r="F423" i="3" s="1"/>
  <c r="D412" i="3"/>
  <c r="B412" i="3"/>
  <c r="E411" i="3"/>
  <c r="D411" i="3"/>
  <c r="B411" i="3"/>
  <c r="E410" i="3"/>
  <c r="D410" i="3"/>
  <c r="B410" i="3"/>
  <c r="E409" i="3"/>
  <c r="D409" i="3"/>
  <c r="B409" i="3"/>
  <c r="C421" i="3" s="1"/>
  <c r="E408" i="3"/>
  <c r="F419" i="3" s="1"/>
  <c r="D408" i="3"/>
  <c r="B408" i="3"/>
  <c r="E407" i="3"/>
  <c r="D407" i="3"/>
  <c r="B407" i="3"/>
  <c r="E406" i="3"/>
  <c r="F417" i="3" s="1"/>
  <c r="D406" i="3"/>
  <c r="B406" i="3"/>
  <c r="E405" i="3"/>
  <c r="D405" i="3"/>
  <c r="B405" i="3"/>
  <c r="E404" i="3"/>
  <c r="F415" i="3" s="1"/>
  <c r="D404" i="3"/>
  <c r="B404" i="3"/>
  <c r="E403" i="3"/>
  <c r="D403" i="3"/>
  <c r="B403" i="3"/>
  <c r="E402" i="3"/>
  <c r="D402" i="3"/>
  <c r="B402" i="3"/>
  <c r="E401" i="3"/>
  <c r="F412" i="3" s="1"/>
  <c r="D401" i="3"/>
  <c r="B401" i="3"/>
  <c r="E400" i="3"/>
  <c r="D400" i="3"/>
  <c r="B400" i="3"/>
  <c r="E399" i="3"/>
  <c r="F410" i="3" s="1"/>
  <c r="D399" i="3"/>
  <c r="B399" i="3"/>
  <c r="E398" i="3"/>
  <c r="D398" i="3"/>
  <c r="B398" i="3"/>
  <c r="E397" i="3"/>
  <c r="D397" i="3"/>
  <c r="B397" i="3"/>
  <c r="E396" i="3"/>
  <c r="F407" i="3" s="1"/>
  <c r="D396" i="3"/>
  <c r="B396" i="3"/>
  <c r="C408" i="3" s="1"/>
  <c r="E395" i="3"/>
  <c r="D395" i="3"/>
  <c r="B395" i="3"/>
  <c r="C407" i="3" s="1"/>
  <c r="E394" i="3"/>
  <c r="D394" i="3"/>
  <c r="B394" i="3"/>
  <c r="E393" i="3"/>
  <c r="D393" i="3"/>
  <c r="B393" i="3"/>
  <c r="E392" i="3"/>
  <c r="D392" i="3"/>
  <c r="B392" i="3"/>
  <c r="E391" i="3"/>
  <c r="F402" i="3" s="1"/>
  <c r="D391" i="3"/>
  <c r="B391" i="3"/>
  <c r="E390" i="3"/>
  <c r="F390" i="3" s="1"/>
  <c r="D390" i="3"/>
  <c r="B390" i="3"/>
  <c r="E389" i="3"/>
  <c r="D389" i="3"/>
  <c r="B389" i="3"/>
  <c r="E388" i="3"/>
  <c r="D388" i="3"/>
  <c r="B388" i="3"/>
  <c r="E387" i="3"/>
  <c r="F398" i="3" s="1"/>
  <c r="D387" i="3"/>
  <c r="B387" i="3"/>
  <c r="E386" i="3"/>
  <c r="F397" i="3" s="1"/>
  <c r="D386" i="3"/>
  <c r="B386" i="3"/>
  <c r="E385" i="3"/>
  <c r="F396" i="3" s="1"/>
  <c r="D385" i="3"/>
  <c r="B385" i="3"/>
  <c r="C397" i="3" s="1"/>
  <c r="E384" i="3"/>
  <c r="D384" i="3"/>
  <c r="B384" i="3"/>
  <c r="E383" i="3"/>
  <c r="D383" i="3"/>
  <c r="B383" i="3"/>
  <c r="F382" i="3"/>
  <c r="E382" i="3"/>
  <c r="F393" i="3" s="1"/>
  <c r="D382" i="3"/>
  <c r="B382" i="3"/>
  <c r="E381" i="3"/>
  <c r="D381" i="3"/>
  <c r="B381" i="3"/>
  <c r="E380" i="3"/>
  <c r="F391" i="3" s="1"/>
  <c r="D380" i="3"/>
  <c r="B380" i="3"/>
  <c r="E379" i="3"/>
  <c r="D379" i="3"/>
  <c r="B379" i="3"/>
  <c r="E378" i="3"/>
  <c r="D378" i="3"/>
  <c r="B378" i="3"/>
  <c r="E377" i="3"/>
  <c r="D377" i="3"/>
  <c r="B377" i="3"/>
  <c r="E376" i="3"/>
  <c r="D376" i="3"/>
  <c r="B376" i="3"/>
  <c r="C376" i="3" s="1"/>
  <c r="E375" i="3"/>
  <c r="F386" i="3" s="1"/>
  <c r="D375" i="3"/>
  <c r="B375" i="3"/>
  <c r="E374" i="3"/>
  <c r="D374" i="3"/>
  <c r="B374" i="3"/>
  <c r="E373" i="3"/>
  <c r="F384" i="3" s="1"/>
  <c r="D373" i="3"/>
  <c r="B373" i="3"/>
  <c r="E372" i="3"/>
  <c r="F383" i="3" s="1"/>
  <c r="D372" i="3"/>
  <c r="B372" i="3"/>
  <c r="E371" i="3"/>
  <c r="D371" i="3"/>
  <c r="B371" i="3"/>
  <c r="E370" i="3"/>
  <c r="F381" i="3" s="1"/>
  <c r="D370" i="3"/>
  <c r="B370" i="3"/>
  <c r="E369" i="3"/>
  <c r="F369" i="3" s="1"/>
  <c r="D369" i="3"/>
  <c r="B369" i="3"/>
  <c r="E368" i="3"/>
  <c r="F379" i="3" s="1"/>
  <c r="D368" i="3"/>
  <c r="B368" i="3"/>
  <c r="E367" i="3"/>
  <c r="D367" i="3"/>
  <c r="B367" i="3"/>
  <c r="E366" i="3"/>
  <c r="D366" i="3"/>
  <c r="B366" i="3"/>
  <c r="E365" i="3"/>
  <c r="F376" i="3" s="1"/>
  <c r="D365" i="3"/>
  <c r="B365" i="3"/>
  <c r="C377" i="3" s="1"/>
  <c r="E364" i="3"/>
  <c r="D364" i="3"/>
  <c r="B364" i="3"/>
  <c r="E363" i="3"/>
  <c r="F374" i="3" s="1"/>
  <c r="D363" i="3"/>
  <c r="B363" i="3"/>
  <c r="E362" i="3"/>
  <c r="D362" i="3"/>
  <c r="B362" i="3"/>
  <c r="E361" i="3"/>
  <c r="F372" i="3" s="1"/>
  <c r="D361" i="3"/>
  <c r="B361" i="3"/>
  <c r="E360" i="3"/>
  <c r="D360" i="3"/>
  <c r="B360" i="3"/>
  <c r="C372" i="3" s="1"/>
  <c r="E359" i="3"/>
  <c r="D359" i="3"/>
  <c r="B359" i="3"/>
  <c r="E358" i="3"/>
  <c r="D358" i="3"/>
  <c r="B358" i="3"/>
  <c r="E357" i="3"/>
  <c r="D357" i="3"/>
  <c r="B357" i="3"/>
  <c r="C369" i="3" s="1"/>
  <c r="E356" i="3"/>
  <c r="F367" i="3" s="1"/>
  <c r="D356" i="3"/>
  <c r="B356" i="3"/>
  <c r="E355" i="3"/>
  <c r="D355" i="3"/>
  <c r="B355" i="3"/>
  <c r="E354" i="3"/>
  <c r="D354" i="3"/>
  <c r="B354" i="3"/>
  <c r="E353" i="3"/>
  <c r="F364" i="3" s="1"/>
  <c r="D353" i="3"/>
  <c r="B353" i="3"/>
  <c r="E352" i="3"/>
  <c r="D352" i="3"/>
  <c r="B352" i="3"/>
  <c r="C364" i="3" s="1"/>
  <c r="E351" i="3"/>
  <c r="F362" i="3" s="1"/>
  <c r="D351" i="3"/>
  <c r="B351" i="3"/>
  <c r="E350" i="3"/>
  <c r="D350" i="3"/>
  <c r="B350" i="3"/>
  <c r="E349" i="3"/>
  <c r="D349" i="3"/>
  <c r="B349" i="3"/>
  <c r="E348" i="3"/>
  <c r="F359" i="3" s="1"/>
  <c r="D348" i="3"/>
  <c r="B348" i="3"/>
  <c r="E347" i="3"/>
  <c r="D347" i="3"/>
  <c r="B347" i="3"/>
  <c r="C347" i="3" s="1"/>
  <c r="E346" i="3"/>
  <c r="F357" i="3" s="1"/>
  <c r="D346" i="3"/>
  <c r="B346" i="3"/>
  <c r="E345" i="3"/>
  <c r="D345" i="3"/>
  <c r="B345" i="3"/>
  <c r="E344" i="3"/>
  <c r="F355" i="3" s="1"/>
  <c r="D344" i="3"/>
  <c r="B344" i="3"/>
  <c r="C344" i="3" s="1"/>
  <c r="E343" i="3"/>
  <c r="D343" i="3"/>
  <c r="B343" i="3"/>
  <c r="E342" i="3"/>
  <c r="D342" i="3"/>
  <c r="B342" i="3"/>
  <c r="E341" i="3"/>
  <c r="D341" i="3"/>
  <c r="B341" i="3"/>
  <c r="C353" i="3" s="1"/>
  <c r="E340" i="3"/>
  <c r="D340" i="3"/>
  <c r="B340" i="3"/>
  <c r="E339" i="3"/>
  <c r="D339" i="3"/>
  <c r="B339" i="3"/>
  <c r="E338" i="3"/>
  <c r="D338" i="3"/>
  <c r="B338" i="3"/>
  <c r="E337" i="3"/>
  <c r="D337" i="3"/>
  <c r="B337" i="3"/>
  <c r="E336" i="3"/>
  <c r="D336" i="3"/>
  <c r="B336" i="3"/>
  <c r="E335" i="3"/>
  <c r="F346" i="3" s="1"/>
  <c r="D335" i="3"/>
  <c r="B335" i="3"/>
  <c r="E334" i="3"/>
  <c r="D334" i="3"/>
  <c r="B334" i="3"/>
  <c r="E333" i="3"/>
  <c r="D333" i="3"/>
  <c r="C333" i="3"/>
  <c r="B333" i="3"/>
  <c r="E332" i="3"/>
  <c r="F332" i="3" s="1"/>
  <c r="D332" i="3"/>
  <c r="B332" i="3"/>
  <c r="E331" i="3"/>
  <c r="F331" i="3" s="1"/>
  <c r="D331" i="3"/>
  <c r="B331" i="3"/>
  <c r="C343" i="3" s="1"/>
  <c r="E330" i="3"/>
  <c r="D330" i="3"/>
  <c r="B330" i="3"/>
  <c r="C342" i="3" s="1"/>
  <c r="E329" i="3"/>
  <c r="D329" i="3"/>
  <c r="B329" i="3"/>
  <c r="E328" i="3"/>
  <c r="F328" i="3" s="1"/>
  <c r="D328" i="3"/>
  <c r="B328" i="3"/>
  <c r="E327" i="3"/>
  <c r="D327" i="3"/>
  <c r="B327" i="3"/>
  <c r="E326" i="3"/>
  <c r="F326" i="3" s="1"/>
  <c r="D326" i="3"/>
  <c r="B326" i="3"/>
  <c r="E325" i="3"/>
  <c r="F325" i="3" s="1"/>
  <c r="D325" i="3"/>
  <c r="B325" i="3"/>
  <c r="C337" i="3" s="1"/>
  <c r="E324" i="3"/>
  <c r="D324" i="3"/>
  <c r="B324" i="3"/>
  <c r="E323" i="3"/>
  <c r="F323" i="3" s="1"/>
  <c r="D323" i="3"/>
  <c r="B323" i="3"/>
  <c r="E322" i="3"/>
  <c r="D322" i="3"/>
  <c r="B322" i="3"/>
  <c r="C334" i="3" s="1"/>
  <c r="F321" i="3"/>
  <c r="D321" i="3"/>
  <c r="B321" i="3"/>
  <c r="F320" i="3"/>
  <c r="D320" i="3"/>
  <c r="B320" i="3"/>
  <c r="C332" i="3" s="1"/>
  <c r="F319" i="3"/>
  <c r="D319" i="3"/>
  <c r="B319" i="3"/>
  <c r="C331" i="3" s="1"/>
  <c r="F318" i="3"/>
  <c r="D318" i="3"/>
  <c r="B318" i="3"/>
  <c r="F317" i="3"/>
  <c r="D317" i="3"/>
  <c r="B317" i="3"/>
  <c r="F316" i="3"/>
  <c r="D316" i="3"/>
  <c r="B316" i="3"/>
  <c r="F315" i="3"/>
  <c r="D315" i="3"/>
  <c r="B315" i="3"/>
  <c r="C315" i="3" s="1"/>
  <c r="F314" i="3"/>
  <c r="D314" i="3"/>
  <c r="B314" i="3"/>
  <c r="F313" i="3"/>
  <c r="D313" i="3"/>
  <c r="B313" i="3"/>
  <c r="F312" i="3"/>
  <c r="D312" i="3"/>
  <c r="B312" i="3"/>
  <c r="F311" i="3"/>
  <c r="D311" i="3"/>
  <c r="B311" i="3"/>
  <c r="C311" i="3" s="1"/>
  <c r="F310" i="3"/>
  <c r="D310" i="3"/>
  <c r="B310" i="3"/>
  <c r="F309" i="3"/>
  <c r="D309" i="3"/>
  <c r="B309" i="3"/>
  <c r="C309" i="3" s="1"/>
  <c r="F308" i="3"/>
  <c r="D308" i="3"/>
  <c r="B308" i="3"/>
  <c r="F307" i="3"/>
  <c r="D307" i="3"/>
  <c r="B307" i="3"/>
  <c r="F306" i="3"/>
  <c r="D306" i="3"/>
  <c r="B306" i="3"/>
  <c r="F305" i="3"/>
  <c r="D305" i="3"/>
  <c r="B305" i="3"/>
  <c r="F304" i="3"/>
  <c r="D304" i="3"/>
  <c r="B304" i="3"/>
  <c r="C316" i="3" s="1"/>
  <c r="F303" i="3"/>
  <c r="D303" i="3"/>
  <c r="B303" i="3"/>
  <c r="F302" i="3"/>
  <c r="D302" i="3"/>
  <c r="B302" i="3"/>
  <c r="F301" i="3"/>
  <c r="D301" i="3"/>
  <c r="B301" i="3"/>
  <c r="C301" i="3" s="1"/>
  <c r="F300" i="3"/>
  <c r="D300" i="3"/>
  <c r="B300" i="3"/>
  <c r="F299" i="3"/>
  <c r="D299" i="3"/>
  <c r="B299" i="3"/>
  <c r="C299" i="3" s="1"/>
  <c r="F298" i="3"/>
  <c r="D298" i="3"/>
  <c r="B298" i="3"/>
  <c r="F297" i="3"/>
  <c r="D297" i="3"/>
  <c r="B297" i="3"/>
  <c r="C297" i="3" s="1"/>
  <c r="F296" i="3"/>
  <c r="D296" i="3"/>
  <c r="B296" i="3"/>
  <c r="F295" i="3"/>
  <c r="D295" i="3"/>
  <c r="B295" i="3"/>
  <c r="F294" i="3"/>
  <c r="D294" i="3"/>
  <c r="B294" i="3"/>
  <c r="F293" i="3"/>
  <c r="D293" i="3"/>
  <c r="B293" i="3"/>
  <c r="F292" i="3"/>
  <c r="D292" i="3"/>
  <c r="B292" i="3"/>
  <c r="F291" i="3"/>
  <c r="D291" i="3"/>
  <c r="B291" i="3"/>
  <c r="F290" i="3"/>
  <c r="D290" i="3"/>
  <c r="B290" i="3"/>
  <c r="F289" i="3"/>
  <c r="D289" i="3"/>
  <c r="B289" i="3"/>
  <c r="F288" i="3"/>
  <c r="D288" i="3"/>
  <c r="B288" i="3"/>
  <c r="C300" i="3" s="1"/>
  <c r="F287" i="3"/>
  <c r="D287" i="3"/>
  <c r="B287" i="3"/>
  <c r="F286" i="3"/>
  <c r="D286" i="3"/>
  <c r="B286" i="3"/>
  <c r="C298" i="3" s="1"/>
  <c r="F285" i="3"/>
  <c r="D285" i="3"/>
  <c r="B285" i="3"/>
  <c r="F284" i="3"/>
  <c r="D284" i="3"/>
  <c r="B284" i="3"/>
  <c r="F283" i="3"/>
  <c r="D283" i="3"/>
  <c r="B283" i="3"/>
  <c r="C283" i="3" s="1"/>
  <c r="F282" i="3"/>
  <c r="D282" i="3"/>
  <c r="B282" i="3"/>
  <c r="F281" i="3"/>
  <c r="D281" i="3"/>
  <c r="B281" i="3"/>
  <c r="C281" i="3" s="1"/>
  <c r="F280" i="3"/>
  <c r="D280" i="3"/>
  <c r="B280" i="3"/>
  <c r="F279" i="3"/>
  <c r="D279" i="3"/>
  <c r="B279" i="3"/>
  <c r="C279" i="3" s="1"/>
  <c r="F278" i="3"/>
  <c r="D278" i="3"/>
  <c r="B278" i="3"/>
  <c r="F277" i="3"/>
  <c r="D277" i="3"/>
  <c r="B277" i="3"/>
  <c r="F276" i="3"/>
  <c r="D276" i="3"/>
  <c r="B276" i="3"/>
  <c r="F275" i="3"/>
  <c r="D275" i="3"/>
  <c r="B275" i="3"/>
  <c r="F274" i="3"/>
  <c r="D274" i="3"/>
  <c r="B274" i="3"/>
  <c r="F273" i="3"/>
  <c r="D273" i="3"/>
  <c r="B273" i="3"/>
  <c r="F272" i="3"/>
  <c r="D272" i="3"/>
  <c r="B272" i="3"/>
  <c r="C284" i="3" s="1"/>
  <c r="F271" i="3"/>
  <c r="D271" i="3"/>
  <c r="B271" i="3"/>
  <c r="F270" i="3"/>
  <c r="D270" i="3"/>
  <c r="B270" i="3"/>
  <c r="C282" i="3" s="1"/>
  <c r="F269" i="3"/>
  <c r="D269" i="3"/>
  <c r="B269" i="3"/>
  <c r="F268" i="3"/>
  <c r="D268" i="3"/>
  <c r="B268" i="3"/>
  <c r="F267" i="3"/>
  <c r="D267" i="3"/>
  <c r="B267" i="3"/>
  <c r="C267" i="3" s="1"/>
  <c r="F266" i="3"/>
  <c r="D266" i="3"/>
  <c r="B266" i="3"/>
  <c r="F265" i="3"/>
  <c r="D265" i="3"/>
  <c r="B265" i="3"/>
  <c r="C265" i="3" s="1"/>
  <c r="F264" i="3"/>
  <c r="D264" i="3"/>
  <c r="B264" i="3"/>
  <c r="F263" i="3"/>
  <c r="D263" i="3"/>
  <c r="B263" i="3"/>
  <c r="C263" i="3" s="1"/>
  <c r="F262" i="3"/>
  <c r="D262" i="3"/>
  <c r="B262" i="3"/>
  <c r="F261" i="3"/>
  <c r="D261" i="3"/>
  <c r="B261" i="3"/>
  <c r="F260" i="3"/>
  <c r="D260" i="3"/>
  <c r="B260" i="3"/>
  <c r="F259" i="3"/>
  <c r="D259" i="3"/>
  <c r="B259" i="3"/>
  <c r="F258" i="3"/>
  <c r="D258" i="3"/>
  <c r="B258" i="3"/>
  <c r="F257" i="3"/>
  <c r="D257" i="3"/>
  <c r="B257" i="3"/>
  <c r="F256" i="3"/>
  <c r="D256" i="3"/>
  <c r="B256" i="3"/>
  <c r="F255" i="3"/>
  <c r="D255" i="3"/>
  <c r="B255" i="3"/>
  <c r="F254" i="3"/>
  <c r="D254" i="3"/>
  <c r="B254" i="3"/>
  <c r="F253" i="3"/>
  <c r="D253" i="3"/>
  <c r="B253" i="3"/>
  <c r="F252" i="3"/>
  <c r="D252" i="3"/>
  <c r="B252" i="3"/>
  <c r="F251" i="3"/>
  <c r="D251" i="3"/>
  <c r="B251" i="3"/>
  <c r="C251" i="3" s="1"/>
  <c r="F250" i="3"/>
  <c r="D250" i="3"/>
  <c r="B250" i="3"/>
  <c r="F249" i="3"/>
  <c r="D249" i="3"/>
  <c r="B249" i="3"/>
  <c r="C249" i="3" s="1"/>
  <c r="F248" i="3"/>
  <c r="D248" i="3"/>
  <c r="B248" i="3"/>
  <c r="F247" i="3"/>
  <c r="D247" i="3"/>
  <c r="B247" i="3"/>
  <c r="C247" i="3" s="1"/>
  <c r="F246" i="3"/>
  <c r="D246" i="3"/>
  <c r="B246" i="3"/>
  <c r="F245" i="3"/>
  <c r="D245" i="3"/>
  <c r="B245" i="3"/>
  <c r="C245" i="3" s="1"/>
  <c r="F244" i="3"/>
  <c r="D244" i="3"/>
  <c r="B244" i="3"/>
  <c r="F243" i="3"/>
  <c r="D243" i="3"/>
  <c r="B243" i="3"/>
  <c r="F242" i="3"/>
  <c r="D242" i="3"/>
  <c r="B242" i="3"/>
  <c r="F241" i="3"/>
  <c r="D241" i="3"/>
  <c r="B241" i="3"/>
  <c r="C241" i="3" s="1"/>
  <c r="F240" i="3"/>
  <c r="D240" i="3"/>
  <c r="B240" i="3"/>
  <c r="F239" i="3"/>
  <c r="D239" i="3"/>
  <c r="C239" i="3"/>
  <c r="B239" i="3"/>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N17" i="1"/>
  <c r="O16" i="1"/>
  <c r="N16" i="1"/>
  <c r="P18" i="1" l="1"/>
  <c r="R17" i="1"/>
  <c r="P17" i="1"/>
  <c r="R18" i="1"/>
  <c r="C581" i="3"/>
  <c r="C615" i="3"/>
  <c r="C636" i="3"/>
  <c r="C704" i="3"/>
  <c r="C733" i="3"/>
  <c r="C746" i="3"/>
  <c r="C754" i="3"/>
  <c r="C759" i="3"/>
  <c r="C597" i="3"/>
  <c r="C623" i="3"/>
  <c r="C644" i="3"/>
  <c r="F642" i="3"/>
  <c r="C741" i="3"/>
  <c r="F522" i="3"/>
  <c r="F548" i="3"/>
  <c r="F556" i="3"/>
  <c r="F629" i="3"/>
  <c r="F663" i="3"/>
  <c r="F671" i="3"/>
  <c r="F333" i="3"/>
  <c r="C380" i="3"/>
  <c r="C493" i="3"/>
  <c r="C522" i="3"/>
  <c r="F609" i="3"/>
  <c r="F638" i="3"/>
  <c r="F651" i="3"/>
  <c r="F672" i="3"/>
  <c r="F666" i="3"/>
  <c r="F674" i="3"/>
  <c r="F761" i="3"/>
  <c r="C385" i="3"/>
  <c r="C403" i="3"/>
  <c r="C314" i="3"/>
  <c r="F338" i="3"/>
  <c r="C393" i="3"/>
  <c r="C411" i="3"/>
  <c r="C456" i="3"/>
  <c r="F494" i="3"/>
  <c r="F523" i="3"/>
  <c r="F517" i="3"/>
  <c r="C535" i="3"/>
  <c r="F551" i="3"/>
  <c r="C261" i="3"/>
  <c r="C286" i="3"/>
  <c r="F322" i="3"/>
  <c r="F327" i="3"/>
  <c r="F360" i="3"/>
  <c r="C367" i="3"/>
  <c r="C375" i="3"/>
  <c r="C383" i="3"/>
  <c r="C401" i="3"/>
  <c r="C409" i="3"/>
  <c r="F401" i="3"/>
  <c r="F428" i="3"/>
  <c r="C435" i="3"/>
  <c r="F436" i="3"/>
  <c r="C431" i="3"/>
  <c r="C444" i="3"/>
  <c r="C472" i="3"/>
  <c r="F473" i="3"/>
  <c r="F481" i="3"/>
  <c r="C488" i="3"/>
  <c r="C509" i="3"/>
  <c r="C517" i="3"/>
  <c r="C525" i="3"/>
  <c r="F526" i="3"/>
  <c r="C530" i="3"/>
  <c r="C556" i="3"/>
  <c r="F546" i="3"/>
  <c r="C572" i="3"/>
  <c r="F567" i="3"/>
  <c r="F580" i="3"/>
  <c r="F588" i="3"/>
  <c r="C624" i="3"/>
  <c r="C640" i="3"/>
  <c r="C645" i="3"/>
  <c r="F646" i="3"/>
  <c r="F661" i="3"/>
  <c r="C679" i="3"/>
  <c r="C687" i="3"/>
  <c r="C700" i="3"/>
  <c r="F695" i="3"/>
  <c r="F703" i="3"/>
  <c r="F711" i="3"/>
  <c r="F719" i="3"/>
  <c r="F756" i="3"/>
  <c r="C270" i="3"/>
  <c r="C313" i="3"/>
  <c r="F353" i="3"/>
  <c r="F405" i="3"/>
  <c r="C269" i="3"/>
  <c r="C277" i="3"/>
  <c r="C295" i="3"/>
  <c r="F341" i="3"/>
  <c r="C520" i="3"/>
  <c r="C302" i="3"/>
  <c r="F330" i="3"/>
  <c r="F348" i="3"/>
  <c r="C365" i="3"/>
  <c r="F400" i="3"/>
  <c r="C412" i="3"/>
  <c r="C417" i="3"/>
  <c r="C433" i="3"/>
  <c r="C441" i="3"/>
  <c r="F444" i="3"/>
  <c r="F452" i="3"/>
  <c r="F460" i="3"/>
  <c r="F484" i="3"/>
  <c r="C526" i="3"/>
  <c r="C546" i="3"/>
  <c r="F571" i="3"/>
  <c r="F565" i="3"/>
  <c r="C583" i="3"/>
  <c r="F584" i="3"/>
  <c r="C588" i="3"/>
  <c r="F578" i="3"/>
  <c r="C604" i="3"/>
  <c r="F599" i="3"/>
  <c r="F612" i="3"/>
  <c r="F620" i="3"/>
  <c r="C664" i="3"/>
  <c r="F665" i="3"/>
  <c r="C677" i="3"/>
  <c r="F699" i="3"/>
  <c r="F693" i="3"/>
  <c r="C711" i="3"/>
  <c r="C719" i="3"/>
  <c r="C727" i="3"/>
  <c r="F736" i="3"/>
  <c r="C740" i="3"/>
  <c r="F730" i="3"/>
  <c r="F738" i="3"/>
  <c r="F751" i="3"/>
  <c r="C268" i="3"/>
  <c r="F343" i="3"/>
  <c r="C404" i="3"/>
  <c r="C504" i="3"/>
  <c r="C266" i="3"/>
  <c r="C285" i="3"/>
  <c r="C293" i="3"/>
  <c r="C318" i="3"/>
  <c r="C345" i="3"/>
  <c r="F351" i="3"/>
  <c r="F358" i="3"/>
  <c r="F377" i="3"/>
  <c r="F421" i="3"/>
  <c r="C428" i="3"/>
  <c r="C436" i="3"/>
  <c r="F434" i="3"/>
  <c r="F442" i="3"/>
  <c r="F455" i="3"/>
  <c r="F463" i="3"/>
  <c r="F479" i="3"/>
  <c r="F492" i="3"/>
  <c r="C510" i="3"/>
  <c r="F500" i="3"/>
  <c r="F519" i="3"/>
  <c r="C541" i="3"/>
  <c r="F542" i="3"/>
  <c r="C549" i="3"/>
  <c r="F550" i="3"/>
  <c r="C565" i="3"/>
  <c r="F574" i="3"/>
  <c r="F579" i="3"/>
  <c r="C591" i="3"/>
  <c r="F592" i="3"/>
  <c r="F608" i="3"/>
  <c r="F602" i="3"/>
  <c r="F615" i="3"/>
  <c r="F655" i="3"/>
  <c r="F660" i="3"/>
  <c r="F668" i="3"/>
  <c r="F673" i="3"/>
  <c r="C693" i="3"/>
  <c r="F702" i="3"/>
  <c r="F707" i="3"/>
  <c r="F715" i="3"/>
  <c r="F731" i="3"/>
  <c r="F725" i="3"/>
  <c r="F744" i="3"/>
  <c r="F759" i="3"/>
  <c r="F365" i="3"/>
  <c r="F356" i="3"/>
  <c r="C257" i="3"/>
  <c r="C289" i="3"/>
  <c r="C321" i="3"/>
  <c r="C355" i="3"/>
  <c r="C357" i="3"/>
  <c r="C395" i="3"/>
  <c r="C243" i="3"/>
  <c r="C255" i="3"/>
  <c r="C275" i="3"/>
  <c r="C287" i="3"/>
  <c r="C307" i="3"/>
  <c r="C319" i="3"/>
  <c r="F337" i="3"/>
  <c r="C273" i="3"/>
  <c r="C305" i="3"/>
  <c r="F335" i="3"/>
  <c r="C327" i="3"/>
  <c r="C339" i="3"/>
  <c r="C348" i="3"/>
  <c r="C388" i="3"/>
  <c r="F380" i="3"/>
  <c r="C419" i="3"/>
  <c r="F324" i="3"/>
  <c r="C371" i="3"/>
  <c r="F389" i="3"/>
  <c r="C259" i="3"/>
  <c r="C271" i="3"/>
  <c r="C291" i="3"/>
  <c r="C303" i="3"/>
  <c r="C391" i="3"/>
  <c r="C379" i="3"/>
  <c r="C274" i="3"/>
  <c r="C290" i="3"/>
  <c r="C306" i="3"/>
  <c r="C322" i="3"/>
  <c r="C329" i="3"/>
  <c r="F352" i="3"/>
  <c r="F378" i="3"/>
  <c r="C399" i="3"/>
  <c r="F404" i="3"/>
  <c r="F416" i="3"/>
  <c r="F447" i="3"/>
  <c r="F457" i="3"/>
  <c r="F467" i="3"/>
  <c r="F480" i="3"/>
  <c r="F471" i="3"/>
  <c r="F505" i="3"/>
  <c r="F510" i="3"/>
  <c r="F520" i="3"/>
  <c r="F511" i="3"/>
  <c r="F535" i="3"/>
  <c r="F540" i="3"/>
  <c r="F563" i="3"/>
  <c r="F557" i="3"/>
  <c r="F562" i="3"/>
  <c r="F572" i="3"/>
  <c r="F595" i="3"/>
  <c r="F589" i="3"/>
  <c r="F594" i="3"/>
  <c r="F604" i="3"/>
  <c r="F627" i="3"/>
  <c r="F621" i="3"/>
  <c r="F626" i="3"/>
  <c r="F659" i="3"/>
  <c r="F653" i="3"/>
  <c r="F658" i="3"/>
  <c r="F691" i="3"/>
  <c r="F685" i="3"/>
  <c r="F690" i="3"/>
  <c r="F723" i="3"/>
  <c r="F717" i="3"/>
  <c r="F722" i="3"/>
  <c r="F755" i="3"/>
  <c r="F749" i="3"/>
  <c r="F754" i="3"/>
  <c r="C253" i="3"/>
  <c r="C272" i="3"/>
  <c r="C288" i="3"/>
  <c r="C304" i="3"/>
  <c r="C320" i="3"/>
  <c r="C317" i="3"/>
  <c r="C340" i="3"/>
  <c r="F345" i="3"/>
  <c r="C359" i="3"/>
  <c r="C361" i="3"/>
  <c r="C363" i="3"/>
  <c r="C387" i="3"/>
  <c r="C389" i="3"/>
  <c r="F409" i="3"/>
  <c r="C423" i="3"/>
  <c r="C425" i="3"/>
  <c r="F435" i="3"/>
  <c r="C427" i="3"/>
  <c r="F429" i="3"/>
  <c r="F465" i="3"/>
  <c r="F470" i="3"/>
  <c r="F475" i="3"/>
  <c r="F469" i="3"/>
  <c r="F474" i="3"/>
  <c r="F515" i="3"/>
  <c r="F514" i="3"/>
  <c r="F539" i="3"/>
  <c r="F533" i="3"/>
  <c r="C548" i="3"/>
  <c r="F538" i="3"/>
  <c r="F561" i="3"/>
  <c r="F566" i="3"/>
  <c r="C575" i="3"/>
  <c r="F593" i="3"/>
  <c r="F598" i="3"/>
  <c r="C607" i="3"/>
  <c r="F625" i="3"/>
  <c r="F630" i="3"/>
  <c r="C639" i="3"/>
  <c r="F652" i="3"/>
  <c r="F657" i="3"/>
  <c r="F662" i="3"/>
  <c r="C671" i="3"/>
  <c r="F684" i="3"/>
  <c r="F689" i="3"/>
  <c r="F694" i="3"/>
  <c r="C703" i="3"/>
  <c r="F716" i="3"/>
  <c r="F721" i="3"/>
  <c r="F726" i="3"/>
  <c r="C735" i="3"/>
  <c r="F748" i="3"/>
  <c r="F753" i="3"/>
  <c r="F758" i="3"/>
  <c r="C762" i="3"/>
  <c r="C755" i="3"/>
  <c r="F420" i="3"/>
  <c r="F422" i="3"/>
  <c r="F543" i="3"/>
  <c r="C743" i="3"/>
  <c r="C758" i="3"/>
  <c r="C763" i="3"/>
  <c r="F432" i="3"/>
  <c r="F437" i="3"/>
  <c r="F450" i="3"/>
  <c r="F485" i="3"/>
  <c r="F541" i="3"/>
  <c r="F573" i="3"/>
  <c r="F605" i="3"/>
  <c r="F637" i="3"/>
  <c r="F669" i="3"/>
  <c r="C684" i="3"/>
  <c r="F701" i="3"/>
  <c r="C716" i="3"/>
  <c r="F733" i="3"/>
  <c r="C748" i="3"/>
  <c r="F468" i="3"/>
  <c r="F498" i="3"/>
  <c r="F508" i="3"/>
  <c r="F688" i="3"/>
  <c r="F720" i="3"/>
  <c r="F752" i="3"/>
  <c r="C761" i="3"/>
  <c r="C426" i="3"/>
  <c r="C326" i="3"/>
  <c r="C335" i="3"/>
  <c r="F340" i="3"/>
  <c r="F344" i="3"/>
  <c r="F349" i="3"/>
  <c r="F354" i="3"/>
  <c r="F361" i="3"/>
  <c r="F370" i="3"/>
  <c r="F375" i="3"/>
  <c r="F387" i="3"/>
  <c r="F394" i="3"/>
  <c r="F399" i="3"/>
  <c r="F408" i="3"/>
  <c r="F413" i="3"/>
  <c r="F418" i="3"/>
  <c r="F425" i="3"/>
  <c r="F439" i="3"/>
  <c r="C453" i="3"/>
  <c r="C458" i="3"/>
  <c r="F453" i="3"/>
  <c r="C468" i="3"/>
  <c r="F458" i="3"/>
  <c r="F499" i="3"/>
  <c r="C506" i="3"/>
  <c r="C511" i="3"/>
  <c r="F512" i="3"/>
  <c r="F529" i="3"/>
  <c r="F534" i="3"/>
  <c r="F525" i="3"/>
  <c r="C540" i="3"/>
  <c r="F549" i="3"/>
  <c r="C564" i="3"/>
  <c r="F554" i="3"/>
  <c r="F564" i="3"/>
  <c r="F581" i="3"/>
  <c r="C596" i="3"/>
  <c r="F586" i="3"/>
  <c r="F596" i="3"/>
  <c r="F613" i="3"/>
  <c r="C628" i="3"/>
  <c r="F618" i="3"/>
  <c r="F645" i="3"/>
  <c r="C660" i="3"/>
  <c r="F650" i="3"/>
  <c r="F677" i="3"/>
  <c r="C692" i="3"/>
  <c r="F682" i="3"/>
  <c r="F709" i="3"/>
  <c r="C724" i="3"/>
  <c r="F714" i="3"/>
  <c r="F741" i="3"/>
  <c r="C756" i="3"/>
  <c r="F746" i="3"/>
  <c r="C324" i="3"/>
  <c r="C323" i="3"/>
  <c r="C325" i="3"/>
  <c r="F347" i="3"/>
  <c r="C351" i="3"/>
  <c r="C356" i="3"/>
  <c r="F350" i="3"/>
  <c r="F366" i="3"/>
  <c r="F368" i="3"/>
  <c r="F373" i="3"/>
  <c r="F385" i="3"/>
  <c r="F392" i="3"/>
  <c r="C396" i="3"/>
  <c r="F388" i="3"/>
  <c r="F406" i="3"/>
  <c r="F411" i="3"/>
  <c r="C415" i="3"/>
  <c r="C420" i="3"/>
  <c r="F414" i="3"/>
  <c r="F430" i="3"/>
  <c r="C461" i="3"/>
  <c r="F462" i="3"/>
  <c r="C466" i="3"/>
  <c r="C471" i="3"/>
  <c r="F472" i="3"/>
  <c r="C476" i="3"/>
  <c r="F466" i="3"/>
  <c r="F476" i="3"/>
  <c r="F497" i="3"/>
  <c r="C501" i="3"/>
  <c r="F502" i="3"/>
  <c r="F507" i="3"/>
  <c r="F501" i="3"/>
  <c r="C516" i="3"/>
  <c r="F506" i="3"/>
  <c r="F516" i="3"/>
  <c r="F530" i="3"/>
  <c r="F553" i="3"/>
  <c r="C557" i="3"/>
  <c r="F558" i="3"/>
  <c r="F568" i="3"/>
  <c r="F559" i="3"/>
  <c r="F585" i="3"/>
  <c r="C589" i="3"/>
  <c r="F590" i="3"/>
  <c r="F600" i="3"/>
  <c r="F591" i="3"/>
  <c r="F617" i="3"/>
  <c r="C621" i="3"/>
  <c r="F622" i="3"/>
  <c r="F632" i="3"/>
  <c r="F623" i="3"/>
  <c r="F644" i="3"/>
  <c r="F649" i="3"/>
  <c r="C653" i="3"/>
  <c r="F654" i="3"/>
  <c r="F664" i="3"/>
  <c r="F676" i="3"/>
  <c r="F681" i="3"/>
  <c r="C685" i="3"/>
  <c r="F686" i="3"/>
  <c r="F696" i="3"/>
  <c r="F708" i="3"/>
  <c r="F713" i="3"/>
  <c r="C717" i="3"/>
  <c r="F718" i="3"/>
  <c r="F728" i="3"/>
  <c r="F740" i="3"/>
  <c r="F745" i="3"/>
  <c r="C749" i="3"/>
  <c r="F750" i="3"/>
  <c r="F760" i="3"/>
  <c r="C246" i="3"/>
  <c r="C258" i="3"/>
  <c r="C244" i="3"/>
  <c r="C256" i="3"/>
  <c r="F329" i="3"/>
  <c r="C328" i="3"/>
  <c r="C260" i="3"/>
  <c r="C248" i="3"/>
  <c r="C276" i="3"/>
  <c r="C292" i="3"/>
  <c r="C308" i="3"/>
  <c r="C346" i="3"/>
  <c r="C358" i="3"/>
  <c r="C390" i="3"/>
  <c r="C378" i="3"/>
  <c r="C410" i="3"/>
  <c r="C422" i="3"/>
  <c r="C438" i="3"/>
  <c r="C568" i="3"/>
  <c r="C570" i="3"/>
  <c r="C558" i="3"/>
  <c r="C632" i="3"/>
  <c r="C634" i="3"/>
  <c r="C622" i="3"/>
  <c r="C696" i="3"/>
  <c r="C698" i="3"/>
  <c r="C686" i="3"/>
  <c r="F363" i="3"/>
  <c r="F395" i="3"/>
  <c r="F427" i="3"/>
  <c r="F445" i="3"/>
  <c r="F461" i="3"/>
  <c r="F477" i="3"/>
  <c r="F493" i="3"/>
  <c r="F509" i="3"/>
  <c r="C592" i="3"/>
  <c r="C594" i="3"/>
  <c r="C582" i="3"/>
  <c r="C656" i="3"/>
  <c r="C658" i="3"/>
  <c r="C646" i="3"/>
  <c r="C720" i="3"/>
  <c r="C722" i="3"/>
  <c r="C710" i="3"/>
  <c r="C554" i="3"/>
  <c r="C542" i="3"/>
  <c r="C618" i="3"/>
  <c r="C606" i="3"/>
  <c r="C682" i="3"/>
  <c r="C670" i="3"/>
  <c r="C446" i="3"/>
  <c r="C462" i="3"/>
  <c r="C478" i="3"/>
  <c r="C494" i="3"/>
  <c r="C578" i="3"/>
  <c r="C566" i="3"/>
  <c r="C642" i="3"/>
  <c r="C630" i="3"/>
  <c r="C706" i="3"/>
  <c r="C694" i="3"/>
  <c r="C394" i="3"/>
  <c r="C406" i="3"/>
  <c r="C602" i="3"/>
  <c r="C590" i="3"/>
  <c r="C666" i="3"/>
  <c r="C654" i="3"/>
  <c r="C730" i="3"/>
  <c r="C718" i="3"/>
  <c r="R16" i="1"/>
  <c r="P16" i="1"/>
  <c r="C368" i="3"/>
  <c r="C252" i="3"/>
  <c r="C240" i="3"/>
  <c r="F342" i="3"/>
  <c r="C349" i="3"/>
  <c r="C381" i="3"/>
  <c r="C330" i="3"/>
  <c r="C360" i="3"/>
  <c r="C392" i="3"/>
  <c r="C424" i="3"/>
  <c r="C562" i="3"/>
  <c r="C550" i="3"/>
  <c r="C626" i="3"/>
  <c r="C614" i="3"/>
  <c r="C690" i="3"/>
  <c r="C678" i="3"/>
  <c r="C402" i="3"/>
  <c r="C414" i="3"/>
  <c r="C336" i="3"/>
  <c r="C400" i="3"/>
  <c r="C296" i="3"/>
  <c r="C373" i="3"/>
  <c r="C398" i="3"/>
  <c r="C386" i="3"/>
  <c r="C405" i="3"/>
  <c r="C430" i="3"/>
  <c r="C418" i="3"/>
  <c r="C464" i="3"/>
  <c r="C480" i="3"/>
  <c r="C496" i="3"/>
  <c r="C512" i="3"/>
  <c r="C528" i="3"/>
  <c r="C544" i="3"/>
  <c r="C584" i="3"/>
  <c r="C586" i="3"/>
  <c r="C574" i="3"/>
  <c r="C648" i="3"/>
  <c r="C650" i="3"/>
  <c r="C638" i="3"/>
  <c r="C712" i="3"/>
  <c r="C714" i="3"/>
  <c r="C702" i="3"/>
  <c r="C338" i="3"/>
  <c r="C350" i="3"/>
  <c r="C370" i="3"/>
  <c r="C382" i="3"/>
  <c r="C254" i="3"/>
  <c r="C242" i="3"/>
  <c r="C362" i="3"/>
  <c r="C374" i="3"/>
  <c r="C413" i="3"/>
  <c r="C250" i="3"/>
  <c r="C238" i="3"/>
  <c r="C264" i="3"/>
  <c r="C280" i="3"/>
  <c r="C312" i="3"/>
  <c r="F334" i="3"/>
  <c r="C341" i="3"/>
  <c r="C354" i="3"/>
  <c r="C366" i="3"/>
  <c r="C262" i="3"/>
  <c r="C278" i="3"/>
  <c r="C294" i="3"/>
  <c r="C310" i="3"/>
  <c r="C352" i="3"/>
  <c r="F371" i="3"/>
  <c r="C384" i="3"/>
  <c r="F403" i="3"/>
  <c r="C416" i="3"/>
  <c r="C454" i="3"/>
  <c r="C470" i="3"/>
  <c r="C486" i="3"/>
  <c r="C502" i="3"/>
  <c r="C518" i="3"/>
  <c r="C534" i="3"/>
  <c r="C608" i="3"/>
  <c r="C610" i="3"/>
  <c r="C598" i="3"/>
  <c r="C672" i="3"/>
  <c r="C674" i="3"/>
  <c r="C662" i="3"/>
  <c r="C738" i="3"/>
  <c r="C726" i="3"/>
  <c r="C742" i="3"/>
  <c r="F339" i="3"/>
  <c r="C750" i="3"/>
  <c r="F440" i="3"/>
  <c r="F336" i="3"/>
  <c r="C440" i="3"/>
  <c r="C429" i="3"/>
  <c r="C443" i="3"/>
  <c r="C449" i="3"/>
  <c r="C451" i="3"/>
  <c r="C457" i="3"/>
  <c r="C459" i="3"/>
  <c r="C465" i="3"/>
  <c r="C467" i="3"/>
  <c r="C473" i="3"/>
  <c r="C475" i="3"/>
  <c r="C481" i="3"/>
  <c r="C483" i="3"/>
  <c r="C489" i="3"/>
  <c r="C491" i="3"/>
  <c r="C497" i="3"/>
  <c r="C499" i="3"/>
  <c r="C505" i="3"/>
  <c r="C507" i="3"/>
  <c r="C513" i="3"/>
  <c r="C515" i="3"/>
  <c r="C521" i="3"/>
  <c r="C523" i="3"/>
  <c r="C529" i="3"/>
  <c r="C531" i="3"/>
  <c r="C537" i="3"/>
  <c r="C539" i="3"/>
  <c r="C545" i="3"/>
  <c r="C547" i="3"/>
  <c r="C553" i="3"/>
  <c r="C555" i="3"/>
  <c r="C561" i="3"/>
  <c r="C563" i="3"/>
  <c r="C569" i="3"/>
  <c r="C571" i="3"/>
  <c r="C577" i="3"/>
  <c r="C579" i="3"/>
  <c r="C585" i="3"/>
  <c r="C587" i="3"/>
  <c r="C593" i="3"/>
  <c r="C595" i="3"/>
  <c r="C601" i="3"/>
  <c r="C603" i="3"/>
  <c r="C609" i="3"/>
  <c r="C611" i="3"/>
  <c r="C617" i="3"/>
  <c r="C619" i="3"/>
  <c r="C625" i="3"/>
  <c r="C627" i="3"/>
  <c r="C633" i="3"/>
  <c r="C635" i="3"/>
  <c r="C641" i="3"/>
  <c r="C643" i="3"/>
  <c r="C649" i="3"/>
  <c r="C651" i="3"/>
  <c r="C657" i="3"/>
  <c r="C659" i="3"/>
  <c r="C665" i="3"/>
  <c r="C667" i="3"/>
  <c r="C673" i="3"/>
  <c r="C675" i="3"/>
  <c r="C681" i="3"/>
  <c r="C683" i="3"/>
  <c r="C689" i="3"/>
  <c r="C691" i="3"/>
  <c r="C697" i="3"/>
  <c r="C699" i="3"/>
  <c r="C705" i="3"/>
  <c r="C707" i="3"/>
  <c r="C713" i="3"/>
  <c r="C715" i="3"/>
  <c r="C721" i="3"/>
  <c r="C723" i="3"/>
  <c r="C729" i="3"/>
  <c r="C731" i="3"/>
  <c r="C737" i="3"/>
  <c r="C739" i="3"/>
  <c r="C745" i="3"/>
  <c r="C747" i="3"/>
  <c r="C753" i="3"/>
  <c r="C734" i="3"/>
  <c r="C448"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<sst xmlns="http://schemas.openxmlformats.org/spreadsheetml/2006/main" count="55" uniqueCount="44">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</sst>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UMCSI!$B$7:$B$272</c:f>
              <c:numCache>
                <c:formatCode>General</c:formatCode>
                <c:ptCount val="26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9294-5C45-A2AF-C3BE9FEA04EE}"/>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UMCSI!$B$7:$B$271</c:f>
              <c:numCache>
                <c:formatCode>General</c:formatCode>
                <c:ptCount val="26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A0AE-B340-9A2A-74E9269D4FA4}"/>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UMCSI!$C$7:$C$271</c:f>
              <c:numCache>
                <c:formatCode>General</c:formatCode>
                <c:ptCount val="26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1-A0AE-B340-9A2A-74E9269D4FA4}"/>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UMCSI!$A$7:$A$271</c:f>
              <c:numCache>
                <c:formatCode>m/d/yy</c:formatCode>
                <c:ptCount val="26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UMCSI!$D$7:$D$271</c:f>
              <c:numCache>
                <c:formatCode>General</c:formatCode>
                <c:ptCount val="26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2-A0AE-B340-9A2A-74E9269D4FA4}"/>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UMCSI!$C$7:$C$272</c:f>
              <c:numCache>
                <c:formatCode>General</c:formatCode>
                <c:ptCount val="266"/>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numCache>
            </c:numRef>
          </c:val>
          <c:smooth val="0"/>
          <c:extLst>
            <c:ext xmlns:c16="http://schemas.microsoft.com/office/drawing/2014/chart" uri="{C3380CC4-5D6E-409C-BE32-E72D297353CC}">
              <c16:uniqueId val="{00000000-D08A-6A43-8EE8-FA7140B3AD8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UMCSI!$B$7:$B$272</c:f>
              <c:numCache>
                <c:formatCode>General</c:formatCode>
                <c:ptCount val="26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numCache>
            </c:numRef>
          </c:val>
          <c:smooth val="0"/>
          <c:extLst>
            <c:ext xmlns:c16="http://schemas.microsoft.com/office/drawing/2014/chart" uri="{C3380CC4-5D6E-409C-BE32-E72D297353CC}">
              <c16:uniqueId val="{00000000-FEDF-324E-9D36-0350540C1E0A}"/>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UMCSI!$A$7:$A$272</c:f>
              <c:numCache>
                <c:formatCode>m/d/yy</c:formatCode>
                <c:ptCount val="26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UMCSI!$D$7:$D$272</c:f>
              <c:numCache>
                <c:formatCode>General</c:formatCode>
                <c:ptCount val="266"/>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numCache>
            </c:numRef>
          </c:val>
          <c:smooth val="0"/>
          <c:extLst>
            <c:ext xmlns:c16="http://schemas.microsoft.com/office/drawing/2014/chart" uri="{C3380CC4-5D6E-409C-BE32-E72D297353CC}">
              <c16:uniqueId val="{00000000-BBF8-C24F-8444-CE088D9DD3A3}"/>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GDP'!$C$7:$C$536</c:f>
              <c:numCache>
                <c:formatCode>0.00%</c:formatCode>
                <c:ptCount val="530"/>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numCache>
            </c:numRef>
          </c:val>
          <c:extLst>
            <c:ext xmlns:c16="http://schemas.microsoft.com/office/drawing/2014/chart" uri="{C3380CC4-5D6E-409C-BE32-E72D297353CC}">
              <c16:uniqueId val="{00000000-5838-5542-B5C0-1B79ECFE58B5}"/>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GDP'!$B$7:$B$536</c:f>
              <c:numCache>
                <c:formatCode>0.0</c:formatCode>
                <c:ptCount val="530"/>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5838-5542-B5C0-1B79ECFE58B5}"/>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GDP'!$D$7:$D$536</c:f>
              <c:numCache>
                <c:formatCode>0.00%</c:formatCode>
                <c:ptCount val="530"/>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numCache>
            </c:numRef>
          </c:val>
          <c:extLst>
            <c:ext xmlns:c16="http://schemas.microsoft.com/office/drawing/2014/chart" uri="{C3380CC4-5D6E-409C-BE32-E72D297353CC}">
              <c16:uniqueId val="{00000000-9821-F940-B0C2-A1C2EB9B392B}"/>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GDP'!$A$7:$A$536</c:f>
              <c:numCache>
                <c:formatCode>mmm\-yy</c:formatCode>
                <c:ptCount val="530"/>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numCache>
            </c:numRef>
          </c:cat>
          <c:val>
            <c:numRef>
              <c:f>'UMCSI vs GDP'!$B$7:$B$536</c:f>
              <c:numCache>
                <c:formatCode>0.0</c:formatCode>
                <c:ptCount val="530"/>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numCache>
            </c:numRef>
          </c:val>
          <c:smooth val="0"/>
          <c:extLst>
            <c:ext xmlns:c16="http://schemas.microsoft.com/office/drawing/2014/chart" uri="{C3380CC4-5D6E-409C-BE32-E72D297353CC}">
              <c16:uniqueId val="{00000001-9821-F940-B0C2-A1C2EB9B392B}"/>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336550</xdr:colOff>
      <xdr:row>494</xdr:row>
      <xdr:rowOff>113552</xdr:rowOff>
    </xdr:from>
    <xdr:to>
      <xdr:col>13</xdr:col>
      <xdr:colOff>184149</xdr:colOff>
      <xdr:row>515</xdr:row>
      <xdr:rowOff>14567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73404</xdr:rowOff>
    </xdr:from>
    <xdr:to>
      <xdr:col>13</xdr:col>
      <xdr:colOff>179294</xdr:colOff>
      <xdr:row>536</xdr:row>
      <xdr:rowOff>59765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5" totalsRowShown="0" headerRowDxfId="24" dataDxfId="23">
  <autoFilter ref="A9:F765"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S&amp;P 500" dataDxfId="18"/>
    <tableColumn id="6" xr3:uid="{00000000-0010-0000-0000-000006000000}" name="S&amp;P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1" totalsRowShown="0" headerRowDxfId="16" dataDxfId="14" headerRowBorderDxfId="15">
  <autoFilter ref="A6:D271"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5" totalsRowShown="0" headerRowDxfId="9" dataDxfId="7" headerRowBorderDxfId="8" tableBorderDxfId="6">
  <autoFilter ref="A6:D535"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LEI'!$A:$I,9)=0,"",VLOOKUP(Table48[[#This Row],[Date]],'DB LEI'!$A:$I,9))</calculatedColumnFormula>
    </tableColumn>
    <tableColumn id="4" xr3:uid="{00000000-0010-0000-0200-000004000000}"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zoomScale="160" zoomScaleNormal="160" workbookViewId="0">
      <selection activeCell="B22" sqref="B22:I2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30" width="9.1640625" style="51" customWidth="1"/>
    <col min="31" max="16384" width="9.1640625" style="51"/>
  </cols>
  <sheetData>
    <row r="1" spans="2:18" ht="16" customHeight="1" thickBot="1" x14ac:dyDescent="0.25">
      <c r="B1" s="60"/>
      <c r="C1" s="55"/>
      <c r="D1" s="55"/>
      <c r="E1" s="55"/>
      <c r="F1" s="55"/>
      <c r="G1" s="55"/>
      <c r="H1" s="55"/>
      <c r="I1" s="55"/>
      <c r="J1" s="51" t="s">
        <v>0</v>
      </c>
    </row>
    <row r="2" spans="2:18" ht="16" customHeight="1" thickBot="1" x14ac:dyDescent="0.25">
      <c r="B2" s="61"/>
      <c r="C2" s="61"/>
      <c r="D2" s="61"/>
      <c r="E2" s="61"/>
      <c r="F2" s="61"/>
      <c r="G2" s="61"/>
      <c r="H2" s="61"/>
      <c r="I2" s="61"/>
    </row>
    <row r="3" spans="2:18" ht="16" customHeight="1" thickBot="1" x14ac:dyDescent="0.25">
      <c r="B3" s="62" t="s">
        <v>1</v>
      </c>
      <c r="C3" s="63"/>
      <c r="D3" s="63"/>
      <c r="E3" s="63"/>
      <c r="F3" s="63"/>
      <c r="G3" s="63"/>
      <c r="H3" s="63"/>
      <c r="I3" s="64"/>
    </row>
    <row r="5" spans="2:18" x14ac:dyDescent="0.2">
      <c r="B5" s="57" t="s">
        <v>2</v>
      </c>
      <c r="C5" s="58"/>
      <c r="D5" s="58"/>
      <c r="E5" s="58"/>
      <c r="F5" s="58"/>
      <c r="G5" s="58"/>
      <c r="H5" s="58"/>
      <c r="I5" s="59"/>
    </row>
    <row r="7" spans="2:18" ht="106.5" customHeight="1" x14ac:dyDescent="0.2">
      <c r="B7" s="65" t="s">
        <v>3</v>
      </c>
      <c r="C7" s="55"/>
      <c r="D7" s="55"/>
      <c r="E7" s="55"/>
      <c r="F7" s="55"/>
      <c r="G7" s="55"/>
      <c r="H7" s="55"/>
      <c r="I7" s="55"/>
      <c r="O7" s="1"/>
    </row>
    <row r="8" spans="2:18" ht="33.75" customHeight="1" x14ac:dyDescent="0.2">
      <c r="B8" s="66" t="s">
        <v>4</v>
      </c>
      <c r="C8" s="55"/>
      <c r="D8" s="55"/>
      <c r="E8" s="55"/>
      <c r="F8" s="55"/>
      <c r="G8" s="55"/>
      <c r="H8" s="55"/>
      <c r="I8" s="55"/>
    </row>
    <row r="9" spans="2:18" x14ac:dyDescent="0.2">
      <c r="B9" s="7"/>
      <c r="C9" s="7"/>
      <c r="D9" s="7"/>
      <c r="E9" s="7"/>
    </row>
    <row r="10" spans="2:18" x14ac:dyDescent="0.2">
      <c r="B10" s="57" t="s">
        <v>5</v>
      </c>
      <c r="C10" s="58"/>
      <c r="D10" s="58"/>
      <c r="E10" s="58"/>
      <c r="F10" s="58"/>
      <c r="G10" s="58"/>
      <c r="H10" s="58"/>
      <c r="I10" s="59"/>
      <c r="M10" s="57" t="s">
        <v>6</v>
      </c>
      <c r="N10" s="58"/>
      <c r="O10" s="58"/>
      <c r="P10" s="58"/>
      <c r="Q10" s="58"/>
      <c r="R10" s="59"/>
    </row>
    <row r="12" spans="2:18" x14ac:dyDescent="0.2">
      <c r="B12" s="57" t="s">
        <v>7</v>
      </c>
      <c r="C12" s="58"/>
      <c r="D12" s="58"/>
      <c r="E12" s="58"/>
      <c r="F12" s="59"/>
      <c r="G12" s="57" t="s">
        <v>8</v>
      </c>
      <c r="H12" s="58"/>
      <c r="I12" s="59"/>
    </row>
    <row r="13" spans="2:18" ht="19.5" customHeight="1" thickBot="1" x14ac:dyDescent="0.25"/>
    <row r="14" spans="2:18" ht="19.5" customHeight="1" x14ac:dyDescent="0.2">
      <c r="B14" s="52" t="s">
        <v>9</v>
      </c>
      <c r="G14" s="55" t="s">
        <v>10</v>
      </c>
      <c r="H14" s="55"/>
      <c r="I14" s="55"/>
      <c r="N14" s="40">
        <v>44531</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70.599999999999994</v>
      </c>
      <c r="O16" s="29">
        <f>VLOOKUP(DATE(YEAR($N$14),MONTH($N$14)-1,DAY($N$14)),UMCSI!$A:$D,2,)</f>
        <v>67.400000000000006</v>
      </c>
      <c r="P16" s="29">
        <f>N16-O16</f>
        <v>3.1999999999999886</v>
      </c>
      <c r="Q16" s="29">
        <f>VLOOKUP(DATE(YEAR($N$14)-1,MONTH($N$14),DAY($N$14)),UMCSI!$A:$D,2,)</f>
        <v>80.7</v>
      </c>
      <c r="R16" s="30">
        <f>N16-Q16</f>
        <v>-10.100000000000009</v>
      </c>
    </row>
    <row r="17" spans="2:18" ht="19.5" customHeight="1" x14ac:dyDescent="0.2">
      <c r="B17" s="27" t="s">
        <v>17</v>
      </c>
      <c r="G17" s="54" t="s">
        <v>18</v>
      </c>
      <c r="H17" s="55"/>
      <c r="I17" s="55"/>
      <c r="M17" s="38" t="s">
        <v>19</v>
      </c>
      <c r="N17" s="31">
        <f>VLOOKUP(N14,UMCSI!A:D,3,)</f>
        <v>74.2</v>
      </c>
      <c r="O17" s="16">
        <f>VLOOKUP(DATE(YEAR($N$14),MONTH($N$14)-1,DAY($N$14)),UMCSI!$A:$D,3,)</f>
        <v>73.599999999999994</v>
      </c>
      <c r="P17" s="16">
        <f>N17-O17</f>
        <v>0.60000000000000853</v>
      </c>
      <c r="Q17" s="16">
        <f>VLOOKUP(DATE(YEAR($N$14)-1,MONTH($N$14),DAY($N$14)),UMCSI!$A:$D,3,)</f>
        <v>90</v>
      </c>
      <c r="R17" s="32">
        <f>N17-Q17</f>
        <v>-15.799999999999997</v>
      </c>
    </row>
    <row r="18" spans="2:18" ht="19.5" customHeight="1" thickBot="1" x14ac:dyDescent="0.25">
      <c r="B18" s="8"/>
      <c r="G18" s="54"/>
      <c r="H18" s="55"/>
      <c r="I18" s="55"/>
      <c r="M18" s="39" t="s">
        <v>20</v>
      </c>
      <c r="N18" s="36">
        <f>VLOOKUP(N14,UMCSI!A:D,4,)</f>
        <v>68.3</v>
      </c>
      <c r="O18" s="33">
        <f>VLOOKUP(DATE(YEAR($N$14),MONTH($N$14)-1,DAY($N$14)),UMCSI!$A:$D,4,)</f>
        <v>63.5</v>
      </c>
      <c r="P18" s="33">
        <f>N18-O18</f>
        <v>4.7999999999999972</v>
      </c>
      <c r="Q18" s="33">
        <f>VLOOKUP(DATE(YEAR($N$14)-1,MONTH($N$14),DAY($N$14)),UMCSI!$A:$D,4,)</f>
        <v>74.599999999999994</v>
      </c>
      <c r="R18" s="34">
        <f>N18-Q18</f>
        <v>-6.2999999999999972</v>
      </c>
    </row>
    <row r="21" spans="2:18" x14ac:dyDescent="0.2">
      <c r="B21" s="9"/>
    </row>
    <row r="22" spans="2:18" ht="30" customHeight="1" x14ac:dyDescent="0.2">
      <c r="B22" s="56"/>
      <c r="C22" s="55"/>
      <c r="D22" s="55"/>
      <c r="E22" s="55"/>
      <c r="F22" s="55"/>
      <c r="G22" s="55"/>
      <c r="H22" s="55"/>
      <c r="I22" s="55"/>
    </row>
    <row r="23" spans="2:18" x14ac:dyDescent="0.2">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51"/>
  <sheetViews>
    <sheetView zoomScale="150" zoomScaleNormal="150" workbookViewId="0">
      <pane ySplit="1" topLeftCell="A736" activePane="bottomLeft" state="frozen"/>
      <selection pane="bottomLeft" activeCell="M746" sqref="M746"/>
    </sheetView>
  </sheetViews>
  <sheetFormatPr baseColWidth="10" defaultRowHeight="15" x14ac:dyDescent="0.2"/>
  <cols>
    <col min="10" max="10" width="18.83203125"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17896.623</v>
      </c>
      <c r="H691">
        <v>4.6971431425916659E-3</v>
      </c>
      <c r="I691">
        <v>1.8503937865819681E-2</v>
      </c>
      <c r="J691">
        <v>1.8921366514526031E-2</v>
      </c>
      <c r="K691">
        <v>4.719310419164807E-3</v>
      </c>
      <c r="L691">
        <v>1.9011293949556581E-2</v>
      </c>
      <c r="M691">
        <v>1.8852788696456339E-2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17996.802</v>
      </c>
      <c r="H694">
        <v>5.5664889795420374E-3</v>
      </c>
      <c r="I694">
        <v>2.1016011622509451E-2</v>
      </c>
      <c r="J694">
        <v>2.24525616040907E-2</v>
      </c>
      <c r="K694">
        <v>5.5976482267073562E-3</v>
      </c>
      <c r="L694">
        <v>2.2579297461999829E-2</v>
      </c>
      <c r="M694">
        <v>2.1467165829075641E-2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18126.225999999999</v>
      </c>
      <c r="H697">
        <v>7.1401515130617406E-3</v>
      </c>
      <c r="I697">
        <v>2.2163300843760711E-2</v>
      </c>
      <c r="J697">
        <v>2.886795530323116E-2</v>
      </c>
      <c r="K697">
        <v>7.1914999120398764E-3</v>
      </c>
      <c r="L697">
        <v>2.9077796059291838E-2</v>
      </c>
      <c r="M697">
        <v>2.2665646383373719E-2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18296.685000000001</v>
      </c>
      <c r="H700">
        <v>9.3163870941650115E-3</v>
      </c>
      <c r="I700">
        <v>2.6459711144395829E-2</v>
      </c>
      <c r="J700">
        <v>3.7789560786797738E-2</v>
      </c>
      <c r="K700">
        <v>9.403998383337081E-3</v>
      </c>
      <c r="L700">
        <v>3.814993904506303E-2</v>
      </c>
      <c r="M700">
        <v>2.7178855818590929E-2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18436.261999999999</v>
      </c>
      <c r="H703">
        <v>7.5707863123228294E-3</v>
      </c>
      <c r="I703">
        <v>2.9270521323682599E-2</v>
      </c>
      <c r="J703">
        <v>3.0628785099971578E-2</v>
      </c>
      <c r="K703">
        <v>7.6285403612729556E-3</v>
      </c>
      <c r="L703">
        <v>3.0865108360243591E-2</v>
      </c>
      <c r="M703">
        <v>3.0153118831413011E-2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18590.004000000001</v>
      </c>
      <c r="H706">
        <v>8.2701434598939309E-3</v>
      </c>
      <c r="I706">
        <v>3.1909729551429962E-2</v>
      </c>
      <c r="J706">
        <v>3.3493212709446267E-2</v>
      </c>
      <c r="K706">
        <v>8.339109088382559E-3</v>
      </c>
      <c r="L706">
        <v>3.3776005263053577E-2</v>
      </c>
      <c r="M706">
        <v>3.296152283055629E-2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18679.598999999998</v>
      </c>
      <c r="H709">
        <v>4.7964091734516096E-3</v>
      </c>
      <c r="I709">
        <v>2.9624458212405929E-2</v>
      </c>
      <c r="J709">
        <v>1.9324111844767119E-2</v>
      </c>
      <c r="K709">
        <v>4.819525590204151E-3</v>
      </c>
      <c r="L709">
        <v>1.9417917650261129E-2</v>
      </c>
      <c r="M709">
        <v>3.0528859123791111E-2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18721.280999999999</v>
      </c>
      <c r="H712">
        <v>2.2264502092565509E-3</v>
      </c>
      <c r="I712">
        <v>2.2679858285338372E-2</v>
      </c>
      <c r="J712">
        <v>8.9355874915768574E-3</v>
      </c>
      <c r="K712">
        <v>2.2314183511113221E-3</v>
      </c>
      <c r="L712">
        <v>8.9555932393461379E-3</v>
      </c>
      <c r="M712">
        <v>2.3206170953918571E-2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18833.195</v>
      </c>
      <c r="H715">
        <v>5.9423799307552804E-3</v>
      </c>
      <c r="I715">
        <v>2.1076243303380069E-2</v>
      </c>
      <c r="J715">
        <v>2.3982231591808349E-2</v>
      </c>
      <c r="K715">
        <v>5.9779029009820791E-3</v>
      </c>
      <c r="L715">
        <v>2.4126879308669521E-2</v>
      </c>
      <c r="M715">
        <v>2.1530015140813302E-2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18982.527999999998</v>
      </c>
      <c r="H718">
        <v>7.8668657831032166E-3</v>
      </c>
      <c r="I718">
        <v>2.0678173107396319E-2</v>
      </c>
      <c r="J718">
        <v>3.1840739871036312E-2</v>
      </c>
      <c r="K718">
        <v>7.9292440820582337E-3</v>
      </c>
      <c r="L718">
        <v>3.2096211890165323E-2</v>
      </c>
      <c r="M718">
        <v>2.111478835615084E-2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19112.652999999998</v>
      </c>
      <c r="H721">
        <v>6.8083169824722928E-3</v>
      </c>
      <c r="I721">
        <v>2.26579742749476E-2</v>
      </c>
      <c r="J721">
        <v>2.751265150788296E-2</v>
      </c>
      <c r="K721">
        <v>6.8549879130956641E-3</v>
      </c>
      <c r="L721">
        <v>2.770318750334555E-2</v>
      </c>
      <c r="M721">
        <v>2.3183259983257681E-2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19202.310000000001</v>
      </c>
      <c r="H724">
        <v>4.6690736687410462E-3</v>
      </c>
      <c r="I724">
        <v>2.5050579852111659E-2</v>
      </c>
      <c r="J724">
        <v>1.8807503791633099E-2</v>
      </c>
      <c r="K724">
        <v>4.690976182113644E-3</v>
      </c>
      <c r="L724">
        <v>1.8896349662488991E-2</v>
      </c>
      <c r="M724">
        <v>2.5694235346395491E-2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18951.991999999998</v>
      </c>
      <c r="H727">
        <v>-1.3208004731112329E-2</v>
      </c>
      <c r="I727">
        <v>6.2683120592283209E-3</v>
      </c>
      <c r="J727">
        <v>-5.179449677638337E-2</v>
      </c>
      <c r="K727">
        <v>-1.303582746034216E-2</v>
      </c>
      <c r="L727">
        <v>-5.1132545037274268E-2</v>
      </c>
      <c r="M727">
        <v>6.3078516417420767E-3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17258.205000000002</v>
      </c>
      <c r="H730">
        <v>-9.8143868380286159E-2</v>
      </c>
      <c r="I730">
        <v>-9.9913229678289056E-2</v>
      </c>
      <c r="J730">
        <v>-0.33847075337229399</v>
      </c>
      <c r="K730">
        <v>-8.9372505011610218E-2</v>
      </c>
      <c r="L730">
        <v>-0.31235698461085082</v>
      </c>
      <c r="M730">
        <v>-9.0837374242250385E-2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18560.774000000001</v>
      </c>
      <c r="H733">
        <v>7.0178592767736914E-2</v>
      </c>
      <c r="I733">
        <v>-2.9733619944943949E-2</v>
      </c>
      <c r="J733">
        <v>0.31167136440634891</v>
      </c>
      <c r="K733">
        <v>7.547534636423657E-2</v>
      </c>
      <c r="L733">
        <v>0.33783279300793229</v>
      </c>
      <c r="M733">
        <v>-2.8875059888336659E-2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18767.777999999998</v>
      </c>
      <c r="H736">
        <v>1.1029755360490581E-2</v>
      </c>
      <c r="I736">
        <v>-2.3153087168870119E-2</v>
      </c>
      <c r="J736">
        <v>4.4854336583656451E-2</v>
      </c>
      <c r="K736">
        <v>1.115276765936578E-2</v>
      </c>
      <c r="L736">
        <v>4.536294038119415E-2</v>
      </c>
      <c r="M736">
        <v>-2.2629152430098401E-2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19055.654999999999</v>
      </c>
      <c r="H739">
        <v>1.5107168974249401E-2</v>
      </c>
      <c r="I739">
        <v>5.440012426757331E-3</v>
      </c>
      <c r="J739">
        <v>6.1811878739345127E-2</v>
      </c>
      <c r="K739">
        <v>1.533889627211066E-2</v>
      </c>
      <c r="L739">
        <v>6.278176672776592E-2</v>
      </c>
      <c r="M739">
        <v>5.4697680328273934E-3</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19368.310000000001</v>
      </c>
      <c r="H742">
        <v>1.614260614374731E-2</v>
      </c>
      <c r="I742">
        <v>0.10894626325167241</v>
      </c>
      <c r="J742">
        <v>6.6150820879828487E-2</v>
      </c>
      <c r="K742">
        <v>1.6407465395443108E-2</v>
      </c>
      <c r="L742">
        <v>6.7262831458960726E-2</v>
      </c>
      <c r="M742">
        <v>0.12226677108077</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19478.893</v>
      </c>
      <c r="H745">
        <v>5.6770679935455636E-3</v>
      </c>
      <c r="I745">
        <v>4.7134044013692089E-2</v>
      </c>
      <c r="J745">
        <v>2.2902379486108519E-2</v>
      </c>
      <c r="K745">
        <v>5.7094811059921454E-3</v>
      </c>
      <c r="L745">
        <v>2.303425900825307E-2</v>
      </c>
      <c r="M745">
        <v>4.9465555692882128E-2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19805.962</v>
      </c>
      <c r="H748">
        <v>1.6790943920683761E-2</v>
      </c>
      <c r="I748">
        <v>5.5317363621841711E-2</v>
      </c>
      <c r="J748">
        <v>6.8874405829691066E-2</v>
      </c>
      <c r="K748">
        <v>1.6790943920683761E-2</v>
      </c>
      <c r="L748">
        <v>6.8874405829691066E-2</v>
      </c>
      <c r="M748">
        <v>5.5317363621841711E-2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C751">
        <v>4515.5498046875</v>
      </c>
      <c r="D751">
        <v>67.2</v>
      </c>
      <c r="E751">
        <v>72</v>
      </c>
      <c r="F751">
        <v>64.099999999999994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65"/>
  <sheetViews>
    <sheetView zoomScale="150" zoomScaleNormal="150" workbookViewId="0">
      <pane ySplit="9" topLeftCell="A730" activePane="bottomLeft" state="frozen"/>
      <selection activeCell="F487" sqref="F487"/>
      <selection pane="bottomLeft" activeCell="F767" sqref="F767"/>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21" width="9.1640625" style="51" customWidth="1"/>
    <col min="22" max="16384" width="9.1640625" style="51"/>
  </cols>
  <sheetData>
    <row r="1" spans="1:6" x14ac:dyDescent="0.2">
      <c r="A1" s="5" t="s">
        <v>9</v>
      </c>
    </row>
    <row r="9" spans="1:6" ht="27" customHeight="1" x14ac:dyDescent="0.2">
      <c r="A9" s="48" t="s">
        <v>32</v>
      </c>
      <c r="B9" s="49" t="s">
        <v>33</v>
      </c>
      <c r="C9" s="48" t="s">
        <v>34</v>
      </c>
      <c r="D9" s="50" t="s">
        <v>35</v>
      </c>
      <c r="E9" s="49" t="s">
        <v>36</v>
      </c>
      <c r="F9" s="50" t="s">
        <v>37</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Row],[S&amp;P 500]]-E754)/E754</f>
        <v>-0.1063291139240507</v>
      </c>
    </row>
  </sheetData>
  <conditionalFormatting sqref="B622:B765">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1"/>
  <sheetViews>
    <sheetView zoomScale="150" zoomScaleNormal="150" workbookViewId="0">
      <pane ySplit="6" topLeftCell="A233" activePane="bottomLeft" state="frozen"/>
      <selection activeCell="M746" sqref="M746"/>
      <selection pane="bottomLeft" activeCell="G272" sqref="G272"/>
    </sheetView>
  </sheetViews>
  <sheetFormatPr baseColWidth="10" defaultColWidth="9.1640625" defaultRowHeight="15" x14ac:dyDescent="0.2"/>
  <cols>
    <col min="1" max="1" width="14.1640625" style="16" customWidth="1"/>
    <col min="2" max="4" width="16" style="16" customWidth="1"/>
    <col min="5" max="19" width="9.1640625" style="51" customWidth="1"/>
    <col min="20" max="16384" width="9.1640625" style="51"/>
  </cols>
  <sheetData>
    <row r="1" spans="1:4" ht="19" customHeight="1" x14ac:dyDescent="0.25">
      <c r="A1" s="17" t="s">
        <v>38</v>
      </c>
    </row>
    <row r="5" spans="1:4" ht="16" customHeight="1" thickBot="1" x14ac:dyDescent="0.25"/>
    <row r="6" spans="1:4" ht="39.75" customHeight="1" x14ac:dyDescent="0.2">
      <c r="A6" s="11" t="s">
        <v>32</v>
      </c>
      <c r="B6" s="12" t="s">
        <v>16</v>
      </c>
      <c r="C6" s="12" t="s">
        <v>39</v>
      </c>
      <c r="D6" s="13" t="s">
        <v>40</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sheetData>
  <conditionalFormatting sqref="B127:B27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35"/>
  <sheetViews>
    <sheetView zoomScale="170" zoomScaleNormal="170" workbookViewId="0">
      <pane ySplit="6" topLeftCell="A497" activePane="bottomLeft" state="frozen"/>
      <selection activeCell="I758" sqref="I758"/>
      <selection pane="bottomLeft" activeCell="Q526" sqref="Q526"/>
    </sheetView>
  </sheetViews>
  <sheetFormatPr baseColWidth="10" defaultColWidth="9.1640625" defaultRowHeight="15" x14ac:dyDescent="0.2"/>
  <cols>
    <col min="1" max="1" width="11.6640625" style="16" customWidth="1"/>
    <col min="2" max="4" width="15" style="16" customWidth="1"/>
    <col min="5" max="19" width="9.1640625" style="51" customWidth="1"/>
    <col min="20" max="16384" width="9.1640625" style="51"/>
  </cols>
  <sheetData>
    <row r="1" spans="1:4" x14ac:dyDescent="0.2">
      <c r="A1" s="26" t="s">
        <v>41</v>
      </c>
    </row>
    <row r="5" spans="1:4" ht="16" customHeight="1" thickBot="1" x14ac:dyDescent="0.25"/>
    <row r="6" spans="1:4" ht="16" customHeight="1" x14ac:dyDescent="0.2">
      <c r="A6" s="19" t="s">
        <v>32</v>
      </c>
      <c r="B6" s="20" t="s">
        <v>16</v>
      </c>
      <c r="C6" s="21" t="s">
        <v>42</v>
      </c>
      <c r="D6" s="22" t="s">
        <v>43</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sheetData>
  <conditionalFormatting sqref="B391:B53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2022-02-14T05:15:10Z</dcterms:modified>
</cp:coreProperties>
</file>